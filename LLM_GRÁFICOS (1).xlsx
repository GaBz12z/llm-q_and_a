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263905FD-AAC6-4A11-8D67-5EEE145190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21" i="1"/>
  <c r="L121" i="1"/>
  <c r="F121" i="1"/>
  <c r="R120" i="1"/>
  <c r="L120" i="1"/>
  <c r="F120" i="1"/>
  <c r="R119" i="1"/>
  <c r="L119" i="1"/>
  <c r="F119" i="1"/>
  <c r="R118" i="1"/>
  <c r="L118" i="1"/>
  <c r="F118" i="1"/>
  <c r="R117" i="1"/>
  <c r="L117" i="1"/>
  <c r="F117" i="1"/>
  <c r="R115" i="1"/>
  <c r="L115" i="1"/>
  <c r="F115" i="1"/>
  <c r="R114" i="1"/>
  <c r="L114" i="1"/>
  <c r="F114" i="1"/>
  <c r="R113" i="1"/>
  <c r="L113" i="1"/>
  <c r="F113" i="1"/>
  <c r="R112" i="1"/>
  <c r="L112" i="1"/>
  <c r="F112" i="1"/>
  <c r="R111" i="1"/>
  <c r="L111" i="1"/>
  <c r="F111" i="1"/>
  <c r="R109" i="1"/>
  <c r="L109" i="1"/>
  <c r="F109" i="1"/>
  <c r="R108" i="1"/>
  <c r="L108" i="1"/>
  <c r="F108" i="1"/>
  <c r="R107" i="1"/>
  <c r="L107" i="1"/>
  <c r="F107" i="1"/>
  <c r="R106" i="1"/>
  <c r="L106" i="1"/>
  <c r="F106" i="1"/>
  <c r="R105" i="1"/>
  <c r="L105" i="1"/>
  <c r="F105" i="1"/>
  <c r="R103" i="1"/>
  <c r="L103" i="1"/>
  <c r="F103" i="1"/>
  <c r="R102" i="1"/>
  <c r="L102" i="1"/>
  <c r="F102" i="1"/>
  <c r="R101" i="1"/>
  <c r="L101" i="1"/>
  <c r="F101" i="1"/>
  <c r="R100" i="1"/>
  <c r="L100" i="1"/>
  <c r="F100" i="1"/>
  <c r="R99" i="1"/>
  <c r="L99" i="1"/>
  <c r="F99" i="1"/>
  <c r="R97" i="1"/>
  <c r="L97" i="1"/>
  <c r="F97" i="1"/>
  <c r="R96" i="1"/>
  <c r="L96" i="1"/>
  <c r="F96" i="1"/>
  <c r="R95" i="1"/>
  <c r="L95" i="1"/>
  <c r="F95" i="1"/>
  <c r="R94" i="1"/>
  <c r="L94" i="1"/>
  <c r="F94" i="1"/>
  <c r="R93" i="1"/>
  <c r="L93" i="1"/>
  <c r="F93" i="1"/>
  <c r="R91" i="1"/>
  <c r="L91" i="1"/>
  <c r="F91" i="1"/>
  <c r="R90" i="1"/>
  <c r="L90" i="1"/>
  <c r="F90" i="1"/>
  <c r="R89" i="1"/>
  <c r="L89" i="1"/>
  <c r="F89" i="1"/>
  <c r="R88" i="1"/>
  <c r="L88" i="1"/>
  <c r="F88" i="1"/>
  <c r="R87" i="1"/>
  <c r="L87" i="1"/>
  <c r="F87" i="1"/>
  <c r="R85" i="1"/>
  <c r="L85" i="1"/>
  <c r="F85" i="1"/>
  <c r="R84" i="1"/>
  <c r="L84" i="1"/>
  <c r="F84" i="1"/>
  <c r="R83" i="1"/>
  <c r="L83" i="1"/>
  <c r="F83" i="1"/>
  <c r="R82" i="1"/>
  <c r="L82" i="1"/>
  <c r="F82" i="1"/>
  <c r="R81" i="1"/>
  <c r="L81" i="1"/>
  <c r="F81" i="1"/>
  <c r="R79" i="1"/>
  <c r="L79" i="1"/>
  <c r="F79" i="1"/>
  <c r="R78" i="1"/>
  <c r="L78" i="1"/>
  <c r="F78" i="1"/>
  <c r="R77" i="1"/>
  <c r="L77" i="1"/>
  <c r="F77" i="1"/>
  <c r="R76" i="1"/>
  <c r="L76" i="1"/>
  <c r="F76" i="1"/>
  <c r="R75" i="1"/>
  <c r="L75" i="1"/>
  <c r="F75" i="1"/>
  <c r="R73" i="1"/>
  <c r="L73" i="1"/>
  <c r="F73" i="1"/>
  <c r="R72" i="1"/>
  <c r="L72" i="1"/>
  <c r="F72" i="1"/>
  <c r="R71" i="1"/>
  <c r="L71" i="1"/>
  <c r="F71" i="1"/>
  <c r="R70" i="1"/>
  <c r="L70" i="1"/>
  <c r="F70" i="1"/>
  <c r="R69" i="1"/>
  <c r="L69" i="1"/>
  <c r="F69" i="1"/>
  <c r="R67" i="1"/>
  <c r="L67" i="1"/>
  <c r="F67" i="1"/>
  <c r="R66" i="1"/>
  <c r="L66" i="1"/>
  <c r="F66" i="1"/>
  <c r="R65" i="1"/>
  <c r="L65" i="1"/>
  <c r="F65" i="1"/>
  <c r="R64" i="1"/>
  <c r="L64" i="1"/>
  <c r="F64" i="1"/>
  <c r="R63" i="1"/>
  <c r="L63" i="1"/>
  <c r="F63" i="1"/>
  <c r="R61" i="1"/>
  <c r="L61" i="1"/>
  <c r="F61" i="1"/>
  <c r="R60" i="1"/>
  <c r="L60" i="1"/>
  <c r="F60" i="1"/>
  <c r="R59" i="1"/>
  <c r="L59" i="1"/>
  <c r="F59" i="1"/>
  <c r="R58" i="1"/>
  <c r="L58" i="1"/>
  <c r="F58" i="1"/>
  <c r="R57" i="1"/>
  <c r="L57" i="1"/>
  <c r="F57" i="1"/>
  <c r="R55" i="1"/>
  <c r="L55" i="1"/>
  <c r="F55" i="1"/>
  <c r="R54" i="1"/>
  <c r="L54" i="1"/>
  <c r="F54" i="1"/>
  <c r="R53" i="1"/>
  <c r="L53" i="1"/>
  <c r="F53" i="1"/>
  <c r="R52" i="1"/>
  <c r="L52" i="1"/>
  <c r="F52" i="1"/>
  <c r="R51" i="1"/>
  <c r="L51" i="1"/>
  <c r="F51" i="1"/>
  <c r="R49" i="1"/>
  <c r="L49" i="1"/>
  <c r="F49" i="1"/>
  <c r="R48" i="1"/>
  <c r="L48" i="1"/>
  <c r="F48" i="1"/>
  <c r="R47" i="1"/>
  <c r="L47" i="1"/>
  <c r="F47" i="1"/>
  <c r="R46" i="1"/>
  <c r="L46" i="1"/>
  <c r="F46" i="1"/>
  <c r="R45" i="1"/>
  <c r="L45" i="1"/>
  <c r="F45" i="1"/>
  <c r="R43" i="1"/>
  <c r="L43" i="1"/>
  <c r="F43" i="1"/>
  <c r="R42" i="1"/>
  <c r="L42" i="1"/>
  <c r="F42" i="1"/>
  <c r="R41" i="1"/>
  <c r="L41" i="1"/>
  <c r="F41" i="1"/>
  <c r="R40" i="1"/>
  <c r="L40" i="1"/>
  <c r="F40" i="1"/>
  <c r="R39" i="1"/>
  <c r="L39" i="1"/>
  <c r="F39" i="1"/>
  <c r="R37" i="1"/>
  <c r="L37" i="1"/>
  <c r="F37" i="1"/>
  <c r="R36" i="1"/>
  <c r="L36" i="1"/>
  <c r="F36" i="1"/>
  <c r="R35" i="1"/>
  <c r="L35" i="1"/>
  <c r="F35" i="1"/>
  <c r="R34" i="1"/>
  <c r="L34" i="1"/>
  <c r="F34" i="1"/>
  <c r="R33" i="1"/>
  <c r="L33" i="1"/>
  <c r="F33" i="1"/>
  <c r="R31" i="1"/>
  <c r="L31" i="1"/>
  <c r="F31" i="1"/>
  <c r="R30" i="1"/>
  <c r="L30" i="1"/>
  <c r="F30" i="1"/>
  <c r="R29" i="1"/>
  <c r="L29" i="1"/>
  <c r="F29" i="1"/>
  <c r="R28" i="1"/>
  <c r="L28" i="1"/>
  <c r="F28" i="1"/>
  <c r="R27" i="1"/>
  <c r="L27" i="1"/>
  <c r="F27" i="1"/>
  <c r="R25" i="1"/>
  <c r="L25" i="1"/>
  <c r="F25" i="1"/>
  <c r="R24" i="1"/>
  <c r="L24" i="1"/>
  <c r="F24" i="1"/>
  <c r="R23" i="1"/>
  <c r="L23" i="1"/>
  <c r="F23" i="1"/>
  <c r="R22" i="1"/>
  <c r="L22" i="1"/>
  <c r="F22" i="1"/>
  <c r="R21" i="1"/>
  <c r="L21" i="1"/>
  <c r="F21" i="1"/>
  <c r="R19" i="1"/>
  <c r="L19" i="1"/>
  <c r="F19" i="1"/>
  <c r="R18" i="1"/>
  <c r="L18" i="1"/>
  <c r="F18" i="1"/>
  <c r="R17" i="1"/>
  <c r="L17" i="1"/>
  <c r="F17" i="1"/>
  <c r="R16" i="1"/>
  <c r="L16" i="1"/>
  <c r="F16" i="1"/>
  <c r="L15" i="1"/>
  <c r="F15" i="1"/>
  <c r="R13" i="1"/>
  <c r="L13" i="1"/>
  <c r="F13" i="1"/>
  <c r="R12" i="1"/>
  <c r="L12" i="1"/>
  <c r="F12" i="1"/>
  <c r="R11" i="1"/>
  <c r="L11" i="1"/>
  <c r="F11" i="1"/>
  <c r="R10" i="1"/>
  <c r="L10" i="1"/>
  <c r="F10" i="1"/>
  <c r="R9" i="1"/>
  <c r="L9" i="1"/>
  <c r="F9" i="1"/>
  <c r="R7" i="1"/>
  <c r="L7" i="1"/>
  <c r="F7" i="1"/>
  <c r="R6" i="1"/>
  <c r="L6" i="1"/>
  <c r="F6" i="1"/>
  <c r="R5" i="1"/>
  <c r="L5" i="1"/>
  <c r="F5" i="1"/>
  <c r="R4" i="1"/>
  <c r="L4" i="1"/>
  <c r="F4" i="1"/>
  <c r="R3" i="1"/>
  <c r="L3" i="1"/>
  <c r="F3" i="1"/>
</calcChain>
</file>

<file path=xl/sharedStrings.xml><?xml version="1.0" encoding="utf-8"?>
<sst xmlns="http://schemas.openxmlformats.org/spreadsheetml/2006/main" count="754" uniqueCount="132">
  <si>
    <t>acidsBase_300</t>
  </si>
  <si>
    <t>openrouter/owl-alpha</t>
  </si>
  <si>
    <t>responseId</t>
  </si>
  <si>
    <t>targetScore</t>
  </si>
  <si>
    <t>modelScore</t>
  </si>
  <si>
    <t>processingTime_s</t>
  </si>
  <si>
    <t>médiaScore</t>
  </si>
  <si>
    <t>openai/gpt-oss-120b:free</t>
  </si>
  <si>
    <t>openai/gpt-oss-20b:free</t>
  </si>
  <si>
    <t>nvidia/nemotron-3-nano-30b-a3b:free</t>
  </si>
  <si>
    <t>poolside/laguna-xs-2.1:free</t>
  </si>
  <si>
    <t>acidsBase_300_resp_000</t>
  </si>
  <si>
    <t>0.0</t>
  </si>
  <si>
    <t>0.59</t>
  </si>
  <si>
    <t>6.65</t>
  </si>
  <si>
    <t>acidsBase_300_resp_025</t>
  </si>
  <si>
    <t>2.5</t>
  </si>
  <si>
    <t>1.96</t>
  </si>
  <si>
    <t>1.6</t>
  </si>
  <si>
    <t>acidsBase_300_resp_050</t>
  </si>
  <si>
    <t>5.0</t>
  </si>
  <si>
    <t>5.69</t>
  </si>
  <si>
    <t>5.1</t>
  </si>
  <si>
    <t>acidsBase_300_resp_075</t>
  </si>
  <si>
    <t>7.5</t>
  </si>
  <si>
    <t>5.9</t>
  </si>
  <si>
    <t>acidsBase_300_resp_100</t>
  </si>
  <si>
    <t>10.0</t>
  </si>
  <si>
    <t>7.45</t>
  </si>
  <si>
    <t>6.21</t>
  </si>
  <si>
    <t>médiaTime</t>
  </si>
  <si>
    <t>aminoacids_400</t>
  </si>
  <si>
    <t>aminoacids_400_resp_000</t>
  </si>
  <si>
    <t>aminoacids_400_resp_025</t>
  </si>
  <si>
    <t>0.78</t>
  </si>
  <si>
    <t>0.8</t>
  </si>
  <si>
    <t>8.65</t>
  </si>
  <si>
    <t>aminoacids_400_resp_050</t>
  </si>
  <si>
    <t>5.48</t>
  </si>
  <si>
    <t>27.08</t>
  </si>
  <si>
    <t>7.3</t>
  </si>
  <si>
    <t>aminoacids_400_resp_075</t>
  </si>
  <si>
    <t>8.63</t>
  </si>
  <si>
    <t>aminoacids_400_resp_100</t>
  </si>
  <si>
    <t>7.84</t>
  </si>
  <si>
    <t>7.8</t>
  </si>
  <si>
    <t>biochem_100</t>
  </si>
  <si>
    <t>biochem_100_resp_000</t>
  </si>
  <si>
    <t>10.14</t>
  </si>
  <si>
    <t>biochem_100_resp_025</t>
  </si>
  <si>
    <t>2.0</t>
  </si>
  <si>
    <t>biochem_100_resp_050</t>
  </si>
  <si>
    <t>3.6</t>
  </si>
  <si>
    <t>6.0</t>
  </si>
  <si>
    <t>biochem_100_resp_075</t>
  </si>
  <si>
    <t>8.0</t>
  </si>
  <si>
    <t>13.02</t>
  </si>
  <si>
    <t>7.4</t>
  </si>
  <si>
    <t>biochem_100_resp_100</t>
  </si>
  <si>
    <t>carbohydrates_800</t>
  </si>
  <si>
    <t>carbohydrates_800_resp_000</t>
  </si>
  <si>
    <t>carbohydrates_800_resp_025</t>
  </si>
  <si>
    <t>3.73</t>
  </si>
  <si>
    <t>3.7</t>
  </si>
  <si>
    <t>carbohydrates_800_resp_050</t>
  </si>
  <si>
    <t>6.86</t>
  </si>
  <si>
    <t>6.2</t>
  </si>
  <si>
    <t>carbohydrates_800_resp_075</t>
  </si>
  <si>
    <t>6.5</t>
  </si>
  <si>
    <t>carbohydrates_800_resp_100</t>
  </si>
  <si>
    <t>5.8</t>
  </si>
  <si>
    <t>enzymes_550</t>
  </si>
  <si>
    <t>enzymes_550_resp_000</t>
  </si>
  <si>
    <t>14.67</t>
  </si>
  <si>
    <t>enzymes_550_resp_025</t>
  </si>
  <si>
    <t>2.75</t>
  </si>
  <si>
    <t>enzymes_550_resp_050</t>
  </si>
  <si>
    <t>6.67</t>
  </si>
  <si>
    <t>7.2</t>
  </si>
  <si>
    <t>enzymes_550_resp_075</t>
  </si>
  <si>
    <t>8.4</t>
  </si>
  <si>
    <t>enzymes_550_resp_100</t>
  </si>
  <si>
    <t>lipids_600</t>
  </si>
  <si>
    <t>lipids_600_resp_000</t>
  </si>
  <si>
    <t>lipids_600_resp_025</t>
  </si>
  <si>
    <t>4.8</t>
  </si>
  <si>
    <t>lipids_600_resp_050</t>
  </si>
  <si>
    <t>5.5</t>
  </si>
  <si>
    <t>90.23</t>
  </si>
  <si>
    <t>lipids_600_resp_075</t>
  </si>
  <si>
    <t>8.6</t>
  </si>
  <si>
    <t>11.22</t>
  </si>
  <si>
    <t>lipids_600_resp_100</t>
  </si>
  <si>
    <t>membranes_700</t>
  </si>
  <si>
    <t>membranes_700_resp_000</t>
  </si>
  <si>
    <t>membranes_700_resp_025</t>
  </si>
  <si>
    <t>1.2</t>
  </si>
  <si>
    <t>membranes_700_resp_050</t>
  </si>
  <si>
    <t>2.6</t>
  </si>
  <si>
    <t>4.6</t>
  </si>
  <si>
    <t>membranes_700_resp_075</t>
  </si>
  <si>
    <t>54.89</t>
  </si>
  <si>
    <t>6.4</t>
  </si>
  <si>
    <t>23.97</t>
  </si>
  <si>
    <t>membranes_700_resp_100</t>
  </si>
  <si>
    <t>nucleicAcids_900</t>
  </si>
  <si>
    <t>nucleicAcids_900_resp_000</t>
  </si>
  <si>
    <t>nucleicAcids_900_resp_025</t>
  </si>
  <si>
    <t>nucleicAcids_900_resp_050</t>
  </si>
  <si>
    <t>3.53</t>
  </si>
  <si>
    <t>6.1</t>
  </si>
  <si>
    <t>nucleicAcids_900_resp_075</t>
  </si>
  <si>
    <t>nucleicAcids_900_resp_100</t>
  </si>
  <si>
    <t>proteins_500</t>
  </si>
  <si>
    <t>proteins_500_resp_000</t>
  </si>
  <si>
    <t>proteins_500_resp_025</t>
  </si>
  <si>
    <t>proteins_500_resp_050</t>
  </si>
  <si>
    <t>7.06</t>
  </si>
  <si>
    <t>7.6</t>
  </si>
  <si>
    <t>proteins_500_resp_075</t>
  </si>
  <si>
    <t>30.06</t>
  </si>
  <si>
    <t>proteins_500_resp_100</t>
  </si>
  <si>
    <t>9.2</t>
  </si>
  <si>
    <t>water_200</t>
  </si>
  <si>
    <t>water_200_resp_000</t>
  </si>
  <si>
    <t>8.96</t>
  </si>
  <si>
    <t>water_200_resp_025</t>
  </si>
  <si>
    <t>3.54</t>
  </si>
  <si>
    <t>water_200_resp_050</t>
  </si>
  <si>
    <t>5.6</t>
  </si>
  <si>
    <t>water_200_resp_075</t>
  </si>
  <si>
    <t>water_200_resp_100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</si>
</sst>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4"/>
      <color rgb="FFA5D6FF"/>
      <name val="Arial"/>
      <scheme val="minor"/>
    </font>
    <font>
      <sz val="14"/>
      <color theme="1"/>
      <name val="Arial"/>
      <scheme val="minor"/>
    </font>
    <font>
      <b/>
      <sz val="14"/>
      <color theme="1"/>
      <name val="Arial"/>
      <scheme val="minor"/>
    </font>
    <font>
      <sz val="14"/>
      <color rgb="FF000000"/>
      <name val="Arial"/>
      <scheme val="minor"/>
    </font>
    <font>
      <b/>
      <sz val="14"/>
      <color rgb="FF000000"/>
      <name val="Arial"/>
      <scheme val="minor"/>
    </font>
    <font>
      <u/>
      <sz val="14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1314"/>
        <bgColor rgb="FF121314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0" borderId="0" xfId="0" applyFont="1" applyFill="1" applyAlignment="1">
      <alignment horizontal="left"/>
    </xf>
    <xf numFmtId="3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(acidsBase_300)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resultados!$F$3:$F$7</c:f>
              <c:numCache>
                <c:formatCode>General</c:formatCode>
                <c:ptCount val="5"/>
                <c:pt idx="0">
                  <c:v>0</c:v>
                </c:pt>
                <c:pt idx="1">
                  <c:v>2.4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F9-4E71-93F7-946A08C13F90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resultados!$L$3:$L$7</c:f>
              <c:numCache>
                <c:formatCode>General</c:formatCode>
                <c:ptCount val="5"/>
                <c:pt idx="0">
                  <c:v>0</c:v>
                </c:pt>
                <c:pt idx="1">
                  <c:v>1.585</c:v>
                </c:pt>
                <c:pt idx="2">
                  <c:v>3.5</c:v>
                </c:pt>
                <c:pt idx="3">
                  <c:v>5.0999999999999996</c:v>
                </c:pt>
                <c:pt idx="4">
                  <c:v>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1F9-4E71-93F7-946A08C13F90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resultados!$R$3:$R$7</c:f>
              <c:numCache>
                <c:formatCode>General</c:formatCode>
                <c:ptCount val="5"/>
                <c:pt idx="0">
                  <c:v>0</c:v>
                </c:pt>
                <c:pt idx="1">
                  <c:v>3.5</c:v>
                </c:pt>
                <c:pt idx="2">
                  <c:v>4.3049999999999997</c:v>
                </c:pt>
                <c:pt idx="3">
                  <c:v>5.6999999999999993</c:v>
                </c:pt>
                <c:pt idx="4">
                  <c:v>7.84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1F9-4E71-93F7-946A08C13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456816"/>
        <c:axId val="2036729156"/>
      </c:barChart>
      <c:catAx>
        <c:axId val="173745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6729156"/>
        <c:crosses val="autoZero"/>
        <c:auto val="1"/>
        <c:lblAlgn val="ctr"/>
        <c:lblOffset val="100"/>
        <c:noMultiLvlLbl val="1"/>
      </c:catAx>
      <c:valAx>
        <c:axId val="2036729156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7456816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(aminoacids_400)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resultados!$F$15:$F$19</c:f>
              <c:numCache>
                <c:formatCode>General</c:formatCode>
                <c:ptCount val="5"/>
                <c:pt idx="0">
                  <c:v>0</c:v>
                </c:pt>
                <c:pt idx="1">
                  <c:v>1.56</c:v>
                </c:pt>
                <c:pt idx="2">
                  <c:v>5.6</c:v>
                </c:pt>
                <c:pt idx="3">
                  <c:v>8.5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D3-468B-BDAC-E59E44D8A948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resultados!$L$15:$L$19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6.1</c:v>
                </c:pt>
                <c:pt idx="3">
                  <c:v>7.82</c:v>
                </c:pt>
                <c:pt idx="4">
                  <c:v>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BD3-468B-BDAC-E59E44D8A948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resultados!$R$15:$R$19</c:f>
              <c:numCache>
                <c:formatCode>General</c:formatCode>
                <c:ptCount val="5"/>
                <c:pt idx="0">
                  <c:v>0</c:v>
                </c:pt>
                <c:pt idx="1">
                  <c:v>2.25</c:v>
                </c:pt>
                <c:pt idx="2">
                  <c:v>6.4499999999999993</c:v>
                </c:pt>
                <c:pt idx="3">
                  <c:v>6.7</c:v>
                </c:pt>
                <c:pt idx="4">
                  <c:v>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BD3-468B-BDAC-E59E44D8A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027808"/>
        <c:axId val="2043804779"/>
      </c:barChart>
      <c:catAx>
        <c:axId val="30402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3804779"/>
        <c:crosses val="autoZero"/>
        <c:auto val="1"/>
        <c:lblAlgn val="ctr"/>
        <c:lblOffset val="100"/>
        <c:noMultiLvlLbl val="1"/>
      </c:catAx>
      <c:valAx>
        <c:axId val="2043804779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4027808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(biochem_100)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resultados!$F$27:$F$32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4.25</c:v>
                </c:pt>
                <c:pt idx="3">
                  <c:v>7.5</c:v>
                </c:pt>
                <c:pt idx="4">
                  <c:v>10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3F-43D5-8B5E-1DE263680EFA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resultados!$L$27:$L$31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4.2</c:v>
                </c:pt>
                <c:pt idx="3">
                  <c:v>7.4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C3F-43D5-8B5E-1DE263680EFA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resultados!$R$27:$R$31</c:f>
              <c:numCache>
                <c:formatCode>General</c:formatCode>
                <c:ptCount val="5"/>
                <c:pt idx="0">
                  <c:v>0</c:v>
                </c:pt>
                <c:pt idx="1">
                  <c:v>1.4</c:v>
                </c:pt>
                <c:pt idx="2">
                  <c:v>5.0999999999999996</c:v>
                </c:pt>
                <c:pt idx="3">
                  <c:v>6.8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C3F-43D5-8B5E-1DE263680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467354"/>
        <c:axId val="526760764"/>
      </c:barChart>
      <c:catAx>
        <c:axId val="1341467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6760764"/>
        <c:crosses val="autoZero"/>
        <c:auto val="1"/>
        <c:lblAlgn val="ctr"/>
        <c:lblOffset val="100"/>
        <c:noMultiLvlLbl val="1"/>
      </c:catAx>
      <c:valAx>
        <c:axId val="526760764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1467354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(carbohydrates_800)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resultados!$F$39:$F$43</c:f>
              <c:numCache>
                <c:formatCode>General</c:formatCode>
                <c:ptCount val="5"/>
                <c:pt idx="0">
                  <c:v>0</c:v>
                </c:pt>
                <c:pt idx="1">
                  <c:v>3.9</c:v>
                </c:pt>
                <c:pt idx="2">
                  <c:v>6</c:v>
                </c:pt>
                <c:pt idx="3">
                  <c:v>7.5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1F-4F9C-AC73-B9B08FDD6EC3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resultados!$L$39:$L$43</c:f>
              <c:numCache>
                <c:formatCode>General</c:formatCode>
                <c:ptCount val="5"/>
                <c:pt idx="0">
                  <c:v>0</c:v>
                </c:pt>
                <c:pt idx="1">
                  <c:v>3.7149999999999999</c:v>
                </c:pt>
                <c:pt idx="2">
                  <c:v>6.0749999999999993</c:v>
                </c:pt>
                <c:pt idx="3">
                  <c:v>7.07</c:v>
                </c:pt>
                <c:pt idx="4">
                  <c:v>7.84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C1F-4F9C-AC73-B9B08FDD6EC3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resultados!$R$39:$R$43</c:f>
              <c:numCache>
                <c:formatCode>General</c:formatCode>
                <c:ptCount val="5"/>
                <c:pt idx="0">
                  <c:v>0</c:v>
                </c:pt>
                <c:pt idx="1">
                  <c:v>3.7149999999999999</c:v>
                </c:pt>
                <c:pt idx="2">
                  <c:v>5.3000000000000007</c:v>
                </c:pt>
                <c:pt idx="3">
                  <c:v>4.4000000000000004</c:v>
                </c:pt>
                <c:pt idx="4">
                  <c:v>7.84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C1F-4F9C-AC73-B9B08FDD6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0552887"/>
        <c:axId val="128800597"/>
      </c:barChart>
      <c:catAx>
        <c:axId val="1490552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800597"/>
        <c:crosses val="autoZero"/>
        <c:auto val="1"/>
        <c:lblAlgn val="ctr"/>
        <c:lblOffset val="100"/>
        <c:noMultiLvlLbl val="1"/>
      </c:catAx>
      <c:valAx>
        <c:axId val="128800597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0552887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(enzymes_550)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resultados!$F$51:$F$55</c:f>
              <c:numCache>
                <c:formatCode>General</c:formatCode>
                <c:ptCount val="5"/>
                <c:pt idx="0">
                  <c:v>0</c:v>
                </c:pt>
                <c:pt idx="1">
                  <c:v>1.5</c:v>
                </c:pt>
                <c:pt idx="2">
                  <c:v>4.8499999999999996</c:v>
                </c:pt>
                <c:pt idx="3">
                  <c:v>8.5</c:v>
                </c:pt>
                <c:pt idx="4">
                  <c:v>9.75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BA-45FA-ACA7-FA23116995C3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resultados!$L$51:$L$55</c:f>
              <c:numCache>
                <c:formatCode>General</c:formatCode>
                <c:ptCount val="5"/>
                <c:pt idx="0">
                  <c:v>0</c:v>
                </c:pt>
                <c:pt idx="1">
                  <c:v>0.79</c:v>
                </c:pt>
                <c:pt idx="2">
                  <c:v>5.87</c:v>
                </c:pt>
                <c:pt idx="3">
                  <c:v>7.84</c:v>
                </c:pt>
                <c:pt idx="4">
                  <c:v>7.82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DBA-45FA-ACA7-FA23116995C3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resultados!$R$51:$R$55</c:f>
              <c:numCache>
                <c:formatCode>General</c:formatCode>
                <c:ptCount val="5"/>
                <c:pt idx="0">
                  <c:v>0</c:v>
                </c:pt>
                <c:pt idx="1">
                  <c:v>1.96</c:v>
                </c:pt>
                <c:pt idx="2">
                  <c:v>6.8000000000000007</c:v>
                </c:pt>
                <c:pt idx="3">
                  <c:v>9.120000000000001</c:v>
                </c:pt>
                <c:pt idx="4">
                  <c:v>8.02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DBA-45FA-ACA7-FA2311699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8604361"/>
        <c:axId val="1465558299"/>
      </c:barChart>
      <c:catAx>
        <c:axId val="1978604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5558299"/>
        <c:crosses val="autoZero"/>
        <c:auto val="1"/>
        <c:lblAlgn val="ctr"/>
        <c:lblOffset val="100"/>
        <c:noMultiLvlLbl val="1"/>
      </c:catAx>
      <c:valAx>
        <c:axId val="1465558299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8604361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(lipids_600)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resultados!$F$63:$F$67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6.6</c:v>
                </c:pt>
                <c:pt idx="3">
                  <c:v>8.125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67-43C4-AFD9-EBD7F856E2CA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resultados!$L$63:$L$67</c:f>
              <c:numCache>
                <c:formatCode>General</c:formatCode>
                <c:ptCount val="5"/>
                <c:pt idx="0">
                  <c:v>0</c:v>
                </c:pt>
                <c:pt idx="1">
                  <c:v>4.4000000000000004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67-43C4-AFD9-EBD7F856E2CA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resultados!$R$63:$R$67</c:f>
              <c:numCache>
                <c:formatCode>General</c:formatCode>
                <c:ptCount val="5"/>
                <c:pt idx="0">
                  <c:v>0</c:v>
                </c:pt>
                <c:pt idx="1">
                  <c:v>3.5</c:v>
                </c:pt>
                <c:pt idx="2">
                  <c:v>4.8</c:v>
                </c:pt>
                <c:pt idx="3">
                  <c:v>8.3000000000000007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767-43C4-AFD9-EBD7F856E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877002"/>
        <c:axId val="945270626"/>
      </c:barChart>
      <c:catAx>
        <c:axId val="543877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5270626"/>
        <c:crosses val="autoZero"/>
        <c:auto val="1"/>
        <c:lblAlgn val="ctr"/>
        <c:lblOffset val="100"/>
        <c:noMultiLvlLbl val="1"/>
      </c:catAx>
      <c:valAx>
        <c:axId val="945270626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3877002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(membranes_700)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resultados!$F$75:$F$79</c:f>
              <c:numCache>
                <c:formatCode>General</c:formatCode>
                <c:ptCount val="5"/>
                <c:pt idx="0">
                  <c:v>0</c:v>
                </c:pt>
                <c:pt idx="1">
                  <c:v>1.2</c:v>
                </c:pt>
                <c:pt idx="2">
                  <c:v>3</c:v>
                </c:pt>
                <c:pt idx="3">
                  <c:v>8.25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4B-4F70-B865-7A87A34771C8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resultados!$L$75:$L$79</c:f>
              <c:numCache>
                <c:formatCode>General</c:formatCode>
                <c:ptCount val="5"/>
                <c:pt idx="0">
                  <c:v>0.2</c:v>
                </c:pt>
                <c:pt idx="1">
                  <c:v>0</c:v>
                </c:pt>
                <c:pt idx="2">
                  <c:v>0.8</c:v>
                </c:pt>
                <c:pt idx="3">
                  <c:v>6.4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4B-4F70-B865-7A87A34771C8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resultados!$R$75:$R$79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2.6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14B-4F70-B865-7A87A3477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6065670"/>
        <c:axId val="1048664670"/>
      </c:barChart>
      <c:catAx>
        <c:axId val="1826065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8664670"/>
        <c:crosses val="autoZero"/>
        <c:auto val="1"/>
        <c:lblAlgn val="ctr"/>
        <c:lblOffset val="100"/>
        <c:noMultiLvlLbl val="1"/>
      </c:catAx>
      <c:valAx>
        <c:axId val="104866467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6065670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(nucleicAcids_900)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resultados!$F$87:$F$91</c:f>
              <c:numCache>
                <c:formatCode>General</c:formatCode>
                <c:ptCount val="5"/>
                <c:pt idx="0">
                  <c:v>0</c:v>
                </c:pt>
                <c:pt idx="1">
                  <c:v>1.5</c:v>
                </c:pt>
                <c:pt idx="2">
                  <c:v>5.5</c:v>
                </c:pt>
                <c:pt idx="3">
                  <c:v>7.5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45-495B-A923-72610621743A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resultados!$L$87:$L$91</c:f>
              <c:numCache>
                <c:formatCode>General</c:formatCode>
                <c:ptCount val="5"/>
                <c:pt idx="0">
                  <c:v>0</c:v>
                </c:pt>
                <c:pt idx="1">
                  <c:v>0.39</c:v>
                </c:pt>
                <c:pt idx="2">
                  <c:v>4.2</c:v>
                </c:pt>
                <c:pt idx="3">
                  <c:v>6.67</c:v>
                </c:pt>
                <c:pt idx="4">
                  <c:v>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345-495B-A923-72610621743A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resultados!$R$87:$R$91</c:f>
              <c:numCache>
                <c:formatCode>General</c:formatCode>
                <c:ptCount val="5"/>
                <c:pt idx="0">
                  <c:v>0</c:v>
                </c:pt>
                <c:pt idx="1">
                  <c:v>0.78</c:v>
                </c:pt>
                <c:pt idx="2">
                  <c:v>4.8949999999999996</c:v>
                </c:pt>
                <c:pt idx="3">
                  <c:v>4.6999999999999993</c:v>
                </c:pt>
                <c:pt idx="4">
                  <c:v>7.84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345-495B-A923-726106217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6972966"/>
        <c:axId val="435497209"/>
      </c:barChart>
      <c:catAx>
        <c:axId val="1446972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5497209"/>
        <c:crosses val="autoZero"/>
        <c:auto val="1"/>
        <c:lblAlgn val="ctr"/>
        <c:lblOffset val="100"/>
        <c:noMultiLvlLbl val="1"/>
      </c:catAx>
      <c:valAx>
        <c:axId val="435497209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6972966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(proteins_500)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resultados!$F$99:$F$103</c:f>
              <c:numCache>
                <c:formatCode>General</c:formatCode>
                <c:ptCount val="5"/>
                <c:pt idx="0">
                  <c:v>0</c:v>
                </c:pt>
                <c:pt idx="1">
                  <c:v>1.58</c:v>
                </c:pt>
                <c:pt idx="2">
                  <c:v>5.5</c:v>
                </c:pt>
                <c:pt idx="3">
                  <c:v>5.5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D5-4C62-9DF6-5756B8F640AB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resultados!$L$99:$L$103</c:f>
              <c:numCache>
                <c:formatCode>General</c:formatCode>
                <c:ptCount val="5"/>
                <c:pt idx="0">
                  <c:v>0</c:v>
                </c:pt>
                <c:pt idx="1">
                  <c:v>3.3250000000000002</c:v>
                </c:pt>
                <c:pt idx="2">
                  <c:v>7.07</c:v>
                </c:pt>
                <c:pt idx="3">
                  <c:v>7.2549999999999999</c:v>
                </c:pt>
                <c:pt idx="4">
                  <c:v>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ED5-4C62-9DF6-5756B8F640AB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resultados!$R$99:$R$103</c:f>
              <c:numCache>
                <c:formatCode>General</c:formatCode>
                <c:ptCount val="5"/>
                <c:pt idx="0">
                  <c:v>0</c:v>
                </c:pt>
                <c:pt idx="1">
                  <c:v>0.98</c:v>
                </c:pt>
                <c:pt idx="2">
                  <c:v>6.25</c:v>
                </c:pt>
                <c:pt idx="3">
                  <c:v>8.620000000000001</c:v>
                </c:pt>
                <c:pt idx="4">
                  <c:v>8.02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ED5-4C62-9DF6-5756B8F64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4257481"/>
        <c:axId val="44669682"/>
      </c:barChart>
      <c:catAx>
        <c:axId val="1424257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669682"/>
        <c:crosses val="autoZero"/>
        <c:auto val="1"/>
        <c:lblAlgn val="ctr"/>
        <c:lblOffset val="100"/>
        <c:noMultiLvlLbl val="1"/>
      </c:catAx>
      <c:valAx>
        <c:axId val="4466968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4257481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Dados comparativos (water_200)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openrouter/owl-alpha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val>
            <c:numRef>
              <c:f>resultados!$F$111:$F$115</c:f>
              <c:numCache>
                <c:formatCode>General</c:formatCode>
                <c:ptCount val="5"/>
                <c:pt idx="0">
                  <c:v>0</c:v>
                </c:pt>
                <c:pt idx="1">
                  <c:v>1.6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34-47EF-8D49-584D28FA0B94}"/>
            </c:ext>
          </c:extLst>
        </c:ser>
        <c:ser>
          <c:idx val="1"/>
          <c:order val="1"/>
          <c:tx>
            <c:v>openai/gpt-oss-120b:free</c:v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val>
            <c:numRef>
              <c:f>resultados!$L$111:$L$115</c:f>
              <c:numCache>
                <c:formatCode>General</c:formatCode>
                <c:ptCount val="5"/>
                <c:pt idx="0">
                  <c:v>0</c:v>
                </c:pt>
                <c:pt idx="1">
                  <c:v>2.2999999999999998</c:v>
                </c:pt>
                <c:pt idx="2">
                  <c:v>4.8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634-47EF-8D49-584D28FA0B94}"/>
            </c:ext>
          </c:extLst>
        </c:ser>
        <c:ser>
          <c:idx val="2"/>
          <c:order val="2"/>
          <c:tx>
            <c:v>openai/gpt-oss-20b:free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val>
            <c:numRef>
              <c:f>resultados!$R$111:$R$115</c:f>
              <c:numCache>
                <c:formatCode>General</c:formatCode>
                <c:ptCount val="5"/>
                <c:pt idx="0">
                  <c:v>0</c:v>
                </c:pt>
                <c:pt idx="1">
                  <c:v>2.6</c:v>
                </c:pt>
                <c:pt idx="2">
                  <c:v>5.1999999999999993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634-47EF-8D49-584D28FA0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132498"/>
        <c:axId val="1974342940"/>
      </c:barChart>
      <c:catAx>
        <c:axId val="789132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4342940"/>
        <c:crosses val="autoZero"/>
        <c:auto val="1"/>
        <c:lblAlgn val="ctr"/>
        <c:lblOffset val="100"/>
        <c:noMultiLvlLbl val="1"/>
      </c:catAx>
      <c:valAx>
        <c:axId val="197434294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9132498"/>
        <c:crosses val="autoZero"/>
        <c:crossBetween val="between"/>
        <c:majorUnit val="2.5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0</xdr:colOff>
      <xdr:row>0</xdr:row>
      <xdr:rowOff>0</xdr:rowOff>
    </xdr:from>
    <xdr:to>
      <xdr:col>53</xdr:col>
      <xdr:colOff>295275</xdr:colOff>
      <xdr:row>10</xdr:row>
      <xdr:rowOff>47625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2EF77E2-694D-47B3-91F7-6A483081ED38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0</xdr:colOff>
      <xdr:row>13</xdr:row>
      <xdr:rowOff>0</xdr:rowOff>
    </xdr:from>
    <xdr:to>
      <xdr:col>53</xdr:col>
      <xdr:colOff>295275</xdr:colOff>
      <xdr:row>23</xdr:row>
      <xdr:rowOff>47625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CB9D2B7-4C15-4409-818B-91D01E68BFF5}"/>
            </a:ext>
            <a:ext uri="{147F2762-F138-4A5C-976F-8EAC2B608ADB}">
              <a16:predDERef xmlns:a16="http://schemas.microsoft.com/office/drawing/2014/main" pred="{82EF77E2-694D-47B3-91F7-6A483081E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0</xdr:colOff>
      <xdr:row>25</xdr:row>
      <xdr:rowOff>0</xdr:rowOff>
    </xdr:from>
    <xdr:to>
      <xdr:col>53</xdr:col>
      <xdr:colOff>295275</xdr:colOff>
      <xdr:row>35</xdr:row>
      <xdr:rowOff>47625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19BE374-5BA9-4AA1-94C9-2BA4F3E94170}"/>
            </a:ext>
            <a:ext uri="{147F2762-F138-4A5C-976F-8EAC2B608ADB}">
              <a16:predDERef xmlns:a16="http://schemas.microsoft.com/office/drawing/2014/main" pred="{CCB9D2B7-4C15-4409-818B-91D01E68B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0</xdr:colOff>
      <xdr:row>37</xdr:row>
      <xdr:rowOff>0</xdr:rowOff>
    </xdr:from>
    <xdr:to>
      <xdr:col>53</xdr:col>
      <xdr:colOff>295275</xdr:colOff>
      <xdr:row>47</xdr:row>
      <xdr:rowOff>47625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F0E22C9-3333-4D45-B8AE-32862AA933FA}"/>
            </a:ext>
            <a:ext uri="{147F2762-F138-4A5C-976F-8EAC2B608ADB}">
              <a16:predDERef xmlns:a16="http://schemas.microsoft.com/office/drawing/2014/main" pred="{919BE374-5BA9-4AA1-94C9-2BA4F3E94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49</xdr:row>
      <xdr:rowOff>0</xdr:rowOff>
    </xdr:from>
    <xdr:to>
      <xdr:col>53</xdr:col>
      <xdr:colOff>295275</xdr:colOff>
      <xdr:row>59</xdr:row>
      <xdr:rowOff>47625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AB49401-217E-4B86-90B4-112EBE3BDBF9}"/>
            </a:ext>
            <a:ext uri="{147F2762-F138-4A5C-976F-8EAC2B608ADB}">
              <a16:predDERef xmlns:a16="http://schemas.microsoft.com/office/drawing/2014/main" pred="{0F0E22C9-3333-4D45-B8AE-32862AA93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0</xdr:colOff>
      <xdr:row>61</xdr:row>
      <xdr:rowOff>0</xdr:rowOff>
    </xdr:from>
    <xdr:to>
      <xdr:col>53</xdr:col>
      <xdr:colOff>295275</xdr:colOff>
      <xdr:row>71</xdr:row>
      <xdr:rowOff>47625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26899FE-CC05-41D3-B163-7A0251AFCD5C}"/>
            </a:ext>
            <a:ext uri="{147F2762-F138-4A5C-976F-8EAC2B608ADB}">
              <a16:predDERef xmlns:a16="http://schemas.microsoft.com/office/drawing/2014/main" pred="{1AB49401-217E-4B86-90B4-112EBE3BD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45</xdr:col>
      <xdr:colOff>0</xdr:colOff>
      <xdr:row>73</xdr:row>
      <xdr:rowOff>0</xdr:rowOff>
    </xdr:from>
    <xdr:to>
      <xdr:col>53</xdr:col>
      <xdr:colOff>295275</xdr:colOff>
      <xdr:row>83</xdr:row>
      <xdr:rowOff>47625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337EE87-0801-4F61-B95F-875F8DFD366A}"/>
            </a:ext>
            <a:ext uri="{147F2762-F138-4A5C-976F-8EAC2B608ADB}">
              <a16:predDERef xmlns:a16="http://schemas.microsoft.com/office/drawing/2014/main" pred="{A26899FE-CC05-41D3-B163-7A0251AFC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45</xdr:col>
      <xdr:colOff>0</xdr:colOff>
      <xdr:row>85</xdr:row>
      <xdr:rowOff>0</xdr:rowOff>
    </xdr:from>
    <xdr:to>
      <xdr:col>53</xdr:col>
      <xdr:colOff>295275</xdr:colOff>
      <xdr:row>95</xdr:row>
      <xdr:rowOff>47625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557917D-AE42-406C-91D2-142270EBDEA3}"/>
            </a:ext>
            <a:ext uri="{147F2762-F138-4A5C-976F-8EAC2B608ADB}">
              <a16:predDERef xmlns:a16="http://schemas.microsoft.com/office/drawing/2014/main" pred="{2337EE87-0801-4F61-B95F-875F8DFD3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0</xdr:colOff>
      <xdr:row>97</xdr:row>
      <xdr:rowOff>0</xdr:rowOff>
    </xdr:from>
    <xdr:to>
      <xdr:col>53</xdr:col>
      <xdr:colOff>295275</xdr:colOff>
      <xdr:row>107</xdr:row>
      <xdr:rowOff>47625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83B135A7-ED35-43EA-B4E1-6846EB5D7DCD}"/>
            </a:ext>
            <a:ext uri="{147F2762-F138-4A5C-976F-8EAC2B608ADB}">
              <a16:predDERef xmlns:a16="http://schemas.microsoft.com/office/drawing/2014/main" pred="{D557917D-AE42-406C-91D2-142270EBD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109</xdr:row>
      <xdr:rowOff>0</xdr:rowOff>
    </xdr:from>
    <xdr:to>
      <xdr:col>53</xdr:col>
      <xdr:colOff>295275</xdr:colOff>
      <xdr:row>119</xdr:row>
      <xdr:rowOff>47625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7126BF5D-1CA2-475C-A8A5-77C9811E169A}"/>
            </a:ext>
            <a:ext uri="{147F2762-F138-4A5C-976F-8EAC2B608ADB}">
              <a16:predDERef xmlns:a16="http://schemas.microsoft.com/office/drawing/2014/main" pred="{83B135A7-ED35-43EA-B4E1-6846EB5D7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topLeftCell="M107" workbookViewId="0">
      <selection activeCell="Z3" sqref="Z3:AC115"/>
    </sheetView>
  </sheetViews>
  <sheetFormatPr defaultColWidth="12.5703125" defaultRowHeight="15" customHeight="1"/>
  <cols>
    <col min="1" max="6" width="12.5703125" customWidth="1"/>
  </cols>
  <sheetData>
    <row r="1" spans="1:36" ht="24.75" customHeight="1">
      <c r="A1" s="1" t="s">
        <v>0</v>
      </c>
      <c r="B1" s="2"/>
      <c r="C1" s="2"/>
      <c r="D1" s="2"/>
      <c r="E1" s="2"/>
      <c r="F1" s="2"/>
      <c r="G1" s="1" t="s">
        <v>0</v>
      </c>
      <c r="H1" s="2"/>
      <c r="I1" s="2"/>
      <c r="J1" s="2"/>
      <c r="K1" s="2"/>
      <c r="L1" s="2"/>
      <c r="M1" s="1" t="s">
        <v>0</v>
      </c>
      <c r="N1" s="2"/>
      <c r="O1" s="2"/>
      <c r="P1" s="2"/>
      <c r="Q1" s="2"/>
      <c r="R1" s="2"/>
      <c r="S1" s="1" t="s">
        <v>0</v>
      </c>
      <c r="T1" s="2"/>
      <c r="U1" s="2"/>
      <c r="V1" s="2"/>
      <c r="W1" s="2"/>
      <c r="X1" s="2"/>
      <c r="Y1" s="1" t="s">
        <v>0</v>
      </c>
      <c r="Z1" s="2"/>
      <c r="AA1" s="2"/>
      <c r="AB1" s="2"/>
      <c r="AC1" s="2"/>
      <c r="AD1" s="2"/>
      <c r="AE1" s="1" t="s">
        <v>0</v>
      </c>
      <c r="AF1" s="2"/>
      <c r="AG1" s="2"/>
      <c r="AH1" s="2"/>
      <c r="AI1" s="2"/>
      <c r="AJ1" s="2"/>
    </row>
    <row r="2" spans="1:36" ht="24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4" t="s">
        <v>2</v>
      </c>
      <c r="I2" s="4" t="s">
        <v>3</v>
      </c>
      <c r="J2" s="4" t="s">
        <v>4</v>
      </c>
      <c r="K2" s="4" t="s">
        <v>5</v>
      </c>
      <c r="L2" s="5" t="s">
        <v>6</v>
      </c>
      <c r="M2" s="6" t="s">
        <v>8</v>
      </c>
      <c r="N2" s="4" t="s">
        <v>2</v>
      </c>
      <c r="O2" s="4" t="s">
        <v>3</v>
      </c>
      <c r="P2" s="4" t="s">
        <v>4</v>
      </c>
      <c r="Q2" s="4" t="s">
        <v>5</v>
      </c>
      <c r="R2" s="5" t="s">
        <v>6</v>
      </c>
      <c r="S2" s="8" t="s">
        <v>9</v>
      </c>
      <c r="T2" s="5" t="s">
        <v>2</v>
      </c>
      <c r="U2" s="5" t="s">
        <v>3</v>
      </c>
      <c r="V2" s="5" t="s">
        <v>4</v>
      </c>
      <c r="W2" s="5" t="s">
        <v>5</v>
      </c>
      <c r="X2" s="5" t="s">
        <v>6</v>
      </c>
      <c r="Y2" s="6" t="s">
        <v>10</v>
      </c>
      <c r="Z2" s="4" t="s">
        <v>2</v>
      </c>
      <c r="AA2" s="4" t="s">
        <v>3</v>
      </c>
      <c r="AB2" s="4" t="s">
        <v>4</v>
      </c>
      <c r="AC2" s="4" t="s">
        <v>5</v>
      </c>
      <c r="AD2" s="5" t="s">
        <v>6</v>
      </c>
      <c r="AE2" s="5"/>
      <c r="AF2" s="5"/>
      <c r="AG2" s="5"/>
      <c r="AH2" s="5"/>
      <c r="AI2" s="5"/>
      <c r="AJ2" s="5"/>
    </row>
    <row r="3" spans="1:36" ht="24.75" customHeight="1">
      <c r="A3" s="4">
        <v>1</v>
      </c>
      <c r="B3" s="4" t="s">
        <v>11</v>
      </c>
      <c r="C3" s="4">
        <v>0</v>
      </c>
      <c r="D3" s="4">
        <v>0</v>
      </c>
      <c r="E3" s="7">
        <v>3527</v>
      </c>
      <c r="F3" s="4">
        <f t="shared" ref="F3:F7" si="0">IFERROR(AVERAGE(D3,D9),(VALUE(D3)+VALUE(D9))/2)</f>
        <v>0</v>
      </c>
      <c r="G3" s="4">
        <v>1</v>
      </c>
      <c r="H3" s="4" t="s">
        <v>11</v>
      </c>
      <c r="I3" s="4">
        <v>0</v>
      </c>
      <c r="J3" s="7">
        <v>0</v>
      </c>
      <c r="K3" s="7">
        <v>1047</v>
      </c>
      <c r="L3" s="5">
        <f t="shared" ref="L3:L7" si="1">IFERROR(AVERAGE(J3,J9),(VALUE(J3)+VALUE(J9))/2)</f>
        <v>0</v>
      </c>
      <c r="M3" s="4">
        <v>1</v>
      </c>
      <c r="N3" s="4" t="s">
        <v>11</v>
      </c>
      <c r="O3" s="4">
        <v>0</v>
      </c>
      <c r="P3" s="4">
        <v>0</v>
      </c>
      <c r="Q3" s="7">
        <v>1266</v>
      </c>
      <c r="R3" s="5">
        <f t="shared" ref="R3:R7" si="2">IFERROR(AVERAGE(P3,P9),(VALUE(P3)+VALUE(P9))/2)</f>
        <v>0</v>
      </c>
      <c r="S3" s="5">
        <v>1</v>
      </c>
      <c r="T3" s="5" t="s">
        <v>11</v>
      </c>
      <c r="U3" s="5" t="s">
        <v>12</v>
      </c>
      <c r="V3" s="5" t="s">
        <v>13</v>
      </c>
      <c r="W3" s="9">
        <v>14452</v>
      </c>
      <c r="X3" s="5"/>
      <c r="Y3" s="5">
        <v>1</v>
      </c>
      <c r="Z3" s="5" t="s">
        <v>11</v>
      </c>
      <c r="AA3" s="5" t="s">
        <v>12</v>
      </c>
      <c r="AB3" s="5" t="s">
        <v>12</v>
      </c>
      <c r="AC3" s="5" t="s">
        <v>14</v>
      </c>
      <c r="AD3" s="5"/>
      <c r="AE3" s="5"/>
      <c r="AF3" s="5"/>
      <c r="AG3" s="5"/>
      <c r="AH3" s="5"/>
      <c r="AI3" s="5"/>
      <c r="AJ3" s="5"/>
    </row>
    <row r="4" spans="1:36" ht="24.75" customHeight="1">
      <c r="A4" s="4">
        <v>1</v>
      </c>
      <c r="B4" s="4" t="s">
        <v>15</v>
      </c>
      <c r="C4" s="4">
        <v>2.5</v>
      </c>
      <c r="D4" s="4">
        <v>2.2999999999999998</v>
      </c>
      <c r="E4" s="7">
        <v>1346</v>
      </c>
      <c r="F4" s="4">
        <f t="shared" si="0"/>
        <v>2.4</v>
      </c>
      <c r="G4" s="4">
        <v>1</v>
      </c>
      <c r="H4" s="4" t="s">
        <v>15</v>
      </c>
      <c r="I4" s="4">
        <v>2.5</v>
      </c>
      <c r="J4" s="4">
        <v>1.6</v>
      </c>
      <c r="K4" s="7">
        <v>1062</v>
      </c>
      <c r="L4" s="5">
        <f t="shared" si="1"/>
        <v>1.585</v>
      </c>
      <c r="M4" s="4">
        <v>1</v>
      </c>
      <c r="N4" s="4" t="s">
        <v>15</v>
      </c>
      <c r="O4" s="4">
        <v>2.5</v>
      </c>
      <c r="P4" s="4">
        <v>3.5</v>
      </c>
      <c r="Q4" s="7">
        <v>1008</v>
      </c>
      <c r="R4" s="5">
        <f t="shared" si="2"/>
        <v>3.5</v>
      </c>
      <c r="S4" s="5">
        <v>1</v>
      </c>
      <c r="T4" s="5" t="s">
        <v>15</v>
      </c>
      <c r="U4" s="5" t="s">
        <v>16</v>
      </c>
      <c r="V4" s="5" t="s">
        <v>17</v>
      </c>
      <c r="W4" s="9">
        <v>17826</v>
      </c>
      <c r="X4" s="5"/>
      <c r="Y4" s="5">
        <v>1</v>
      </c>
      <c r="Z4" s="5" t="s">
        <v>15</v>
      </c>
      <c r="AA4" s="5" t="s">
        <v>16</v>
      </c>
      <c r="AB4" s="5" t="s">
        <v>18</v>
      </c>
      <c r="AC4" s="9">
        <v>15588</v>
      </c>
      <c r="AD4" s="5"/>
      <c r="AE4" s="5"/>
      <c r="AF4" s="5"/>
      <c r="AG4" s="5"/>
      <c r="AH4" s="5"/>
      <c r="AI4" s="5"/>
      <c r="AJ4" s="5"/>
    </row>
    <row r="5" spans="1:36" ht="24.75" customHeight="1">
      <c r="A5" s="4">
        <v>1</v>
      </c>
      <c r="B5" s="4" t="s">
        <v>19</v>
      </c>
      <c r="C5" s="4">
        <v>5</v>
      </c>
      <c r="D5" s="4">
        <v>5</v>
      </c>
      <c r="E5" s="7">
        <v>3642</v>
      </c>
      <c r="F5" s="4">
        <f t="shared" si="0"/>
        <v>5</v>
      </c>
      <c r="G5" s="4">
        <v>1</v>
      </c>
      <c r="H5" s="4" t="s">
        <v>19</v>
      </c>
      <c r="I5" s="4">
        <v>5</v>
      </c>
      <c r="J5" s="4">
        <v>3.5</v>
      </c>
      <c r="K5" s="7">
        <v>709</v>
      </c>
      <c r="L5" s="5">
        <f t="shared" si="1"/>
        <v>3.5</v>
      </c>
      <c r="M5" s="4">
        <v>1</v>
      </c>
      <c r="N5" s="4" t="s">
        <v>19</v>
      </c>
      <c r="O5" s="4">
        <v>5</v>
      </c>
      <c r="P5" s="4">
        <v>4.3</v>
      </c>
      <c r="Q5" s="4">
        <v>0.95</v>
      </c>
      <c r="R5" s="5">
        <f t="shared" si="2"/>
        <v>4.3049999999999997</v>
      </c>
      <c r="S5" s="5">
        <v>1</v>
      </c>
      <c r="T5" s="5" t="s">
        <v>19</v>
      </c>
      <c r="U5" s="5" t="s">
        <v>20</v>
      </c>
      <c r="V5" s="5" t="s">
        <v>21</v>
      </c>
      <c r="W5" s="9">
        <v>23111</v>
      </c>
      <c r="X5" s="5"/>
      <c r="Y5" s="5">
        <v>1</v>
      </c>
      <c r="Z5" s="5" t="s">
        <v>19</v>
      </c>
      <c r="AA5" s="5" t="s">
        <v>20</v>
      </c>
      <c r="AB5" s="5" t="s">
        <v>22</v>
      </c>
      <c r="AC5" s="9">
        <v>6499</v>
      </c>
      <c r="AD5" s="5"/>
      <c r="AE5" s="5"/>
      <c r="AF5" s="5"/>
      <c r="AG5" s="5"/>
      <c r="AH5" s="5"/>
      <c r="AI5" s="5"/>
      <c r="AJ5" s="5"/>
    </row>
    <row r="6" spans="1:36" ht="24.75" customHeight="1">
      <c r="A6" s="4">
        <v>1</v>
      </c>
      <c r="B6" s="4" t="s">
        <v>23</v>
      </c>
      <c r="C6" s="4">
        <v>7.5</v>
      </c>
      <c r="D6" s="4">
        <v>7.5</v>
      </c>
      <c r="E6" s="7">
        <v>1.82</v>
      </c>
      <c r="F6" s="4">
        <f t="shared" si="0"/>
        <v>7.5</v>
      </c>
      <c r="G6" s="4">
        <v>1</v>
      </c>
      <c r="H6" s="4" t="s">
        <v>23</v>
      </c>
      <c r="I6" s="4">
        <v>7.5</v>
      </c>
      <c r="J6" s="4">
        <v>5.0999999999999996</v>
      </c>
      <c r="K6" s="7">
        <v>893</v>
      </c>
      <c r="L6" s="5">
        <f t="shared" si="1"/>
        <v>5.0999999999999996</v>
      </c>
      <c r="M6" s="4">
        <v>1</v>
      </c>
      <c r="N6" s="4" t="s">
        <v>23</v>
      </c>
      <c r="O6" s="4">
        <v>7.5</v>
      </c>
      <c r="P6" s="4">
        <v>6.3</v>
      </c>
      <c r="Q6" s="7">
        <v>1872</v>
      </c>
      <c r="R6" s="5">
        <f t="shared" si="2"/>
        <v>5.6999999999999993</v>
      </c>
      <c r="S6" s="5">
        <v>1</v>
      </c>
      <c r="T6" s="5" t="s">
        <v>23</v>
      </c>
      <c r="U6" s="5" t="s">
        <v>24</v>
      </c>
      <c r="V6" s="5" t="s">
        <v>22</v>
      </c>
      <c r="W6" s="9">
        <v>12886</v>
      </c>
      <c r="X6" s="5"/>
      <c r="Y6" s="5">
        <v>1</v>
      </c>
      <c r="Z6" s="5" t="s">
        <v>23</v>
      </c>
      <c r="AA6" s="5" t="s">
        <v>24</v>
      </c>
      <c r="AB6" s="5" t="s">
        <v>25</v>
      </c>
      <c r="AC6" s="9">
        <v>14717</v>
      </c>
      <c r="AD6" s="5"/>
      <c r="AE6" s="5"/>
      <c r="AF6" s="5"/>
      <c r="AG6" s="5"/>
      <c r="AH6" s="5"/>
      <c r="AI6" s="5"/>
      <c r="AJ6" s="5"/>
    </row>
    <row r="7" spans="1:36" ht="24.75" customHeight="1">
      <c r="A7" s="4">
        <v>1</v>
      </c>
      <c r="B7" s="4" t="s">
        <v>26</v>
      </c>
      <c r="C7" s="4">
        <v>10</v>
      </c>
      <c r="D7" s="4">
        <v>10</v>
      </c>
      <c r="E7" s="7">
        <v>8838</v>
      </c>
      <c r="F7" s="4">
        <f t="shared" si="0"/>
        <v>10</v>
      </c>
      <c r="G7" s="4">
        <v>1</v>
      </c>
      <c r="H7" s="4" t="s">
        <v>26</v>
      </c>
      <c r="I7" s="4">
        <v>10</v>
      </c>
      <c r="J7" s="4">
        <v>7.8</v>
      </c>
      <c r="K7" s="7">
        <v>833</v>
      </c>
      <c r="L7" s="5">
        <f t="shared" si="1"/>
        <v>7.8</v>
      </c>
      <c r="M7" s="4">
        <v>1</v>
      </c>
      <c r="N7" s="4" t="s">
        <v>26</v>
      </c>
      <c r="O7" s="4">
        <v>10</v>
      </c>
      <c r="P7" s="4">
        <v>7.84</v>
      </c>
      <c r="Q7" s="7">
        <v>1598</v>
      </c>
      <c r="R7" s="5">
        <f t="shared" si="2"/>
        <v>7.84</v>
      </c>
      <c r="S7" s="5">
        <v>1</v>
      </c>
      <c r="T7" s="5" t="s">
        <v>26</v>
      </c>
      <c r="U7" s="5" t="s">
        <v>27</v>
      </c>
      <c r="V7" s="5" t="s">
        <v>28</v>
      </c>
      <c r="W7" s="9">
        <v>15047</v>
      </c>
      <c r="X7" s="5"/>
      <c r="Y7" s="5">
        <v>1</v>
      </c>
      <c r="Z7" s="5" t="s">
        <v>26</v>
      </c>
      <c r="AA7" s="5" t="s">
        <v>27</v>
      </c>
      <c r="AB7" s="5" t="s">
        <v>27</v>
      </c>
      <c r="AC7" s="5" t="s">
        <v>29</v>
      </c>
      <c r="AD7" s="5"/>
      <c r="AE7" s="5"/>
      <c r="AF7" s="5"/>
      <c r="AG7" s="5"/>
      <c r="AH7" s="5"/>
      <c r="AI7" s="5"/>
      <c r="AJ7" s="5"/>
    </row>
    <row r="8" spans="1:36" ht="24.75" customHeight="1">
      <c r="A8" s="4"/>
      <c r="B8" s="4"/>
      <c r="C8" s="4"/>
      <c r="D8" s="4"/>
      <c r="E8" s="4"/>
      <c r="F8" s="4" t="s">
        <v>30</v>
      </c>
      <c r="G8" s="4"/>
      <c r="H8" s="4"/>
      <c r="I8" s="4"/>
      <c r="J8" s="7"/>
      <c r="K8" s="7"/>
      <c r="L8" s="4" t="s">
        <v>30</v>
      </c>
      <c r="M8" s="4"/>
      <c r="N8" s="4"/>
      <c r="O8" s="7"/>
      <c r="P8" s="4"/>
      <c r="Q8" s="7"/>
      <c r="R8" s="5" t="s">
        <v>30</v>
      </c>
      <c r="S8" s="5"/>
      <c r="T8" s="5"/>
      <c r="U8" s="5"/>
      <c r="V8" s="5"/>
      <c r="W8" s="5"/>
      <c r="X8" s="5" t="s">
        <v>30</v>
      </c>
      <c r="Y8" s="5"/>
      <c r="Z8" s="5"/>
      <c r="AA8" s="5"/>
      <c r="AB8" s="5"/>
      <c r="AC8" s="5"/>
      <c r="AD8" s="5" t="s">
        <v>30</v>
      </c>
      <c r="AE8" s="5"/>
      <c r="AF8" s="5"/>
      <c r="AG8" s="5"/>
      <c r="AH8" s="5"/>
      <c r="AI8" s="5"/>
      <c r="AJ8" s="5"/>
    </row>
    <row r="9" spans="1:36" ht="24.75" customHeight="1">
      <c r="A9" s="4">
        <v>2</v>
      </c>
      <c r="B9" s="4" t="s">
        <v>11</v>
      </c>
      <c r="C9" s="4">
        <v>0</v>
      </c>
      <c r="D9" s="4">
        <v>0</v>
      </c>
      <c r="E9" s="7">
        <v>3.26</v>
      </c>
      <c r="F9" s="7">
        <f t="shared" ref="F9:F13" si="3">IFERROR(AVERAGE(E3,E9),(VALUE(E3)+VALUE(E9))/2)</f>
        <v>1765.13</v>
      </c>
      <c r="G9" s="4">
        <v>2</v>
      </c>
      <c r="H9" s="4" t="s">
        <v>11</v>
      </c>
      <c r="I9" s="4">
        <v>0</v>
      </c>
      <c r="J9" s="7">
        <v>0</v>
      </c>
      <c r="K9" s="7">
        <v>3383</v>
      </c>
      <c r="L9" s="4">
        <f t="shared" ref="L9:L13" si="4">IFERROR(AVERAGE(K3,K9),(VALUE(K3)+VALUE(K9))/2)</f>
        <v>2215</v>
      </c>
      <c r="M9" s="4">
        <v>2</v>
      </c>
      <c r="N9" s="4" t="s">
        <v>11</v>
      </c>
      <c r="O9" s="4">
        <v>0</v>
      </c>
      <c r="P9" s="4">
        <v>0</v>
      </c>
      <c r="Q9" s="7">
        <v>966</v>
      </c>
      <c r="R9" s="5">
        <f t="shared" ref="R9:R13" si="5">IFERROR(AVERAGE(Q3,Q9),(VALUE(Q3)+VALUE(Q9))/2)</f>
        <v>1116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ht="24.75" customHeight="1">
      <c r="A10" s="4">
        <v>2</v>
      </c>
      <c r="B10" s="4" t="s">
        <v>15</v>
      </c>
      <c r="C10" s="4">
        <v>2.5</v>
      </c>
      <c r="D10" s="4">
        <v>2.5</v>
      </c>
      <c r="E10" s="7">
        <v>1791</v>
      </c>
      <c r="F10" s="7">
        <f t="shared" si="3"/>
        <v>1568.5</v>
      </c>
      <c r="G10" s="4">
        <v>2</v>
      </c>
      <c r="H10" s="4" t="s">
        <v>15</v>
      </c>
      <c r="I10" s="4">
        <v>2.5</v>
      </c>
      <c r="J10" s="7">
        <v>1.57</v>
      </c>
      <c r="K10" s="7">
        <v>921</v>
      </c>
      <c r="L10" s="4">
        <f t="shared" si="4"/>
        <v>991.5</v>
      </c>
      <c r="M10" s="4">
        <v>2</v>
      </c>
      <c r="N10" s="4" t="s">
        <v>15</v>
      </c>
      <c r="O10" s="4">
        <v>2.5</v>
      </c>
      <c r="P10" s="4">
        <v>3.5</v>
      </c>
      <c r="Q10" s="7">
        <v>1671</v>
      </c>
      <c r="R10" s="5">
        <f t="shared" si="5"/>
        <v>1339.5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24.75" customHeight="1">
      <c r="A11" s="4">
        <v>2</v>
      </c>
      <c r="B11" s="4" t="s">
        <v>19</v>
      </c>
      <c r="C11" s="4">
        <v>5</v>
      </c>
      <c r="D11" s="4">
        <v>5</v>
      </c>
      <c r="E11" s="7">
        <v>4917</v>
      </c>
      <c r="F11" s="7">
        <f t="shared" si="3"/>
        <v>4279.5</v>
      </c>
      <c r="G11" s="4">
        <v>2</v>
      </c>
      <c r="H11" s="4" t="s">
        <v>19</v>
      </c>
      <c r="I11" s="4">
        <v>5</v>
      </c>
      <c r="J11" s="4">
        <v>3.5</v>
      </c>
      <c r="K11" s="7">
        <v>1032</v>
      </c>
      <c r="L11" s="4">
        <f t="shared" si="4"/>
        <v>870.5</v>
      </c>
      <c r="M11" s="4">
        <v>2</v>
      </c>
      <c r="N11" s="4" t="s">
        <v>19</v>
      </c>
      <c r="O11" s="4">
        <v>5</v>
      </c>
      <c r="P11" s="4">
        <v>4.3099999999999996</v>
      </c>
      <c r="Q11" s="7">
        <v>1189</v>
      </c>
      <c r="R11" s="5">
        <f t="shared" si="5"/>
        <v>594.97500000000002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24.75" customHeight="1">
      <c r="A12" s="4">
        <v>2</v>
      </c>
      <c r="B12" s="4" t="s">
        <v>23</v>
      </c>
      <c r="C12" s="4">
        <v>7.5</v>
      </c>
      <c r="D12" s="4">
        <v>7.5</v>
      </c>
      <c r="E12" s="7">
        <v>2454</v>
      </c>
      <c r="F12" s="7">
        <f t="shared" si="3"/>
        <v>1227.9100000000001</v>
      </c>
      <c r="G12" s="4">
        <v>2</v>
      </c>
      <c r="H12" s="4" t="s">
        <v>23</v>
      </c>
      <c r="I12" s="4">
        <v>7.5</v>
      </c>
      <c r="J12" s="4">
        <v>5.0999999999999996</v>
      </c>
      <c r="K12" s="7">
        <v>797</v>
      </c>
      <c r="L12" s="4">
        <f t="shared" si="4"/>
        <v>845</v>
      </c>
      <c r="M12" s="4">
        <v>2</v>
      </c>
      <c r="N12" s="4" t="s">
        <v>23</v>
      </c>
      <c r="O12" s="4">
        <v>7.5</v>
      </c>
      <c r="P12" s="4">
        <v>5.0999999999999996</v>
      </c>
      <c r="Q12" s="7">
        <v>1581</v>
      </c>
      <c r="R12" s="5">
        <f t="shared" si="5"/>
        <v>1726.5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24.75" customHeight="1">
      <c r="A13" s="4">
        <v>2</v>
      </c>
      <c r="B13" s="4" t="s">
        <v>26</v>
      </c>
      <c r="C13" s="4">
        <v>10</v>
      </c>
      <c r="D13" s="4">
        <v>10</v>
      </c>
      <c r="E13" s="7">
        <v>2907</v>
      </c>
      <c r="F13" s="7">
        <f t="shared" si="3"/>
        <v>5872.5</v>
      </c>
      <c r="G13" s="4">
        <v>2</v>
      </c>
      <c r="H13" s="4" t="s">
        <v>26</v>
      </c>
      <c r="I13" s="4">
        <v>10</v>
      </c>
      <c r="J13" s="4">
        <v>7.8</v>
      </c>
      <c r="K13" s="7">
        <v>876</v>
      </c>
      <c r="L13" s="4">
        <f t="shared" si="4"/>
        <v>854.5</v>
      </c>
      <c r="M13" s="4">
        <v>2</v>
      </c>
      <c r="N13" s="4" t="s">
        <v>26</v>
      </c>
      <c r="O13" s="7">
        <v>10</v>
      </c>
      <c r="P13" s="4">
        <v>7.84</v>
      </c>
      <c r="Q13" s="7">
        <v>1554</v>
      </c>
      <c r="R13" s="5">
        <f t="shared" si="5"/>
        <v>1576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ht="24.75" customHeight="1">
      <c r="A14" s="1" t="s">
        <v>31</v>
      </c>
      <c r="B14" s="2"/>
      <c r="C14" s="2"/>
      <c r="D14" s="2"/>
      <c r="E14" s="2"/>
      <c r="F14" s="2"/>
      <c r="G14" s="1" t="s">
        <v>31</v>
      </c>
      <c r="H14" s="2"/>
      <c r="I14" s="2"/>
      <c r="J14" s="2"/>
      <c r="K14" s="2"/>
      <c r="L14" s="2"/>
      <c r="M14" s="1" t="s">
        <v>31</v>
      </c>
      <c r="N14" s="2"/>
      <c r="O14" s="2"/>
      <c r="P14" s="2"/>
      <c r="Q14" s="2"/>
      <c r="R14" s="2"/>
      <c r="S14" s="1" t="s">
        <v>31</v>
      </c>
      <c r="T14" s="2"/>
      <c r="U14" s="2"/>
      <c r="V14" s="2"/>
      <c r="W14" s="2"/>
      <c r="X14" s="2"/>
      <c r="Y14" s="1" t="s">
        <v>31</v>
      </c>
      <c r="Z14" s="2"/>
      <c r="AA14" s="2"/>
      <c r="AB14" s="2"/>
      <c r="AC14" s="2"/>
      <c r="AD14" s="2"/>
      <c r="AE14" s="1" t="s">
        <v>31</v>
      </c>
      <c r="AF14" s="2"/>
      <c r="AG14" s="2"/>
      <c r="AH14" s="2"/>
      <c r="AI14" s="2"/>
      <c r="AJ14" s="2"/>
    </row>
    <row r="15" spans="1:36" ht="24.75" customHeight="1">
      <c r="A15" s="4">
        <v>1</v>
      </c>
      <c r="B15" s="4" t="s">
        <v>32</v>
      </c>
      <c r="C15" s="4">
        <v>0</v>
      </c>
      <c r="D15" s="4">
        <v>0</v>
      </c>
      <c r="E15" s="7">
        <v>8148</v>
      </c>
      <c r="F15" s="4">
        <f t="shared" ref="F15:F19" si="6">IFERROR(AVERAGE(D15,D21),(VALUE(D15)+VALUE(D21))/2)</f>
        <v>0</v>
      </c>
      <c r="G15" s="4">
        <v>1</v>
      </c>
      <c r="H15" s="4" t="s">
        <v>32</v>
      </c>
      <c r="I15" s="4">
        <v>0</v>
      </c>
      <c r="J15" s="4">
        <v>0</v>
      </c>
      <c r="K15" s="7">
        <v>1764</v>
      </c>
      <c r="L15" s="4">
        <f t="shared" ref="L15:L19" si="7">IFERROR(AVERAGE(J15,J21),(VALUE(J15)+VALUE(J21))/2)</f>
        <v>0</v>
      </c>
      <c r="M15" s="4">
        <v>1</v>
      </c>
      <c r="N15" s="4" t="s">
        <v>32</v>
      </c>
      <c r="O15" s="7">
        <v>0</v>
      </c>
      <c r="P15" s="4">
        <v>0</v>
      </c>
      <c r="Q15" s="7">
        <v>1281</v>
      </c>
      <c r="R15" s="5">
        <f t="shared" ref="R15:R19" si="8">IFERROR(AVERAGE(P15,P21),(VALUE(P15)+VALUE(P21))/2)</f>
        <v>0</v>
      </c>
      <c r="S15" s="5">
        <v>1</v>
      </c>
      <c r="T15" s="5" t="s">
        <v>32</v>
      </c>
      <c r="U15" s="5" t="s">
        <v>12</v>
      </c>
      <c r="V15" s="5" t="s">
        <v>12</v>
      </c>
      <c r="W15" s="9">
        <v>13912</v>
      </c>
      <c r="X15" s="5"/>
      <c r="Y15" s="5">
        <v>1</v>
      </c>
      <c r="Z15" s="5" t="s">
        <v>32</v>
      </c>
      <c r="AA15" s="5" t="s">
        <v>12</v>
      </c>
      <c r="AB15" s="5" t="s">
        <v>12</v>
      </c>
      <c r="AC15" s="9">
        <v>9139</v>
      </c>
      <c r="AD15" s="5"/>
      <c r="AE15" s="5"/>
      <c r="AF15" s="5"/>
      <c r="AG15" s="5"/>
      <c r="AH15" s="5"/>
      <c r="AI15" s="5"/>
      <c r="AJ15" s="5"/>
    </row>
    <row r="16" spans="1:36" ht="24.75" customHeight="1">
      <c r="A16" s="4">
        <v>1</v>
      </c>
      <c r="B16" s="4" t="s">
        <v>33</v>
      </c>
      <c r="C16" s="4">
        <v>2.5</v>
      </c>
      <c r="D16" s="4">
        <v>1.56</v>
      </c>
      <c r="E16" s="7">
        <v>5585</v>
      </c>
      <c r="F16" s="4">
        <f t="shared" si="6"/>
        <v>1.56</v>
      </c>
      <c r="G16" s="4">
        <v>1</v>
      </c>
      <c r="H16" s="4" t="s">
        <v>33</v>
      </c>
      <c r="I16" s="4">
        <v>2.5</v>
      </c>
      <c r="J16" s="4">
        <v>2</v>
      </c>
      <c r="K16" s="7">
        <v>879</v>
      </c>
      <c r="L16" s="4">
        <f t="shared" si="7"/>
        <v>1</v>
      </c>
      <c r="M16" s="4">
        <v>1</v>
      </c>
      <c r="N16" s="4" t="s">
        <v>33</v>
      </c>
      <c r="O16" s="4">
        <v>2.5</v>
      </c>
      <c r="P16" s="4">
        <v>2.7</v>
      </c>
      <c r="Q16" s="7">
        <v>877</v>
      </c>
      <c r="R16" s="5">
        <f t="shared" si="8"/>
        <v>2.25</v>
      </c>
      <c r="S16" s="5">
        <v>1</v>
      </c>
      <c r="T16" s="5" t="s">
        <v>33</v>
      </c>
      <c r="U16" s="5" t="s">
        <v>16</v>
      </c>
      <c r="V16" s="5" t="s">
        <v>34</v>
      </c>
      <c r="W16" s="9">
        <v>12524</v>
      </c>
      <c r="X16" s="5"/>
      <c r="Y16" s="5">
        <v>1</v>
      </c>
      <c r="Z16" s="5" t="s">
        <v>33</v>
      </c>
      <c r="AA16" s="5" t="s">
        <v>16</v>
      </c>
      <c r="AB16" s="5" t="s">
        <v>35</v>
      </c>
      <c r="AC16" s="5" t="s">
        <v>36</v>
      </c>
      <c r="AD16" s="5"/>
      <c r="AE16" s="5"/>
      <c r="AF16" s="5"/>
      <c r="AG16" s="5"/>
      <c r="AH16" s="5"/>
      <c r="AI16" s="5"/>
      <c r="AJ16" s="5"/>
    </row>
    <row r="17" spans="1:36" ht="24.75" customHeight="1">
      <c r="A17" s="4">
        <v>1</v>
      </c>
      <c r="B17" s="4" t="s">
        <v>37</v>
      </c>
      <c r="C17" s="4">
        <v>5</v>
      </c>
      <c r="D17" s="4">
        <v>5.6</v>
      </c>
      <c r="E17" s="7">
        <v>5566</v>
      </c>
      <c r="F17" s="4">
        <f t="shared" si="6"/>
        <v>5.6</v>
      </c>
      <c r="G17" s="4">
        <v>1</v>
      </c>
      <c r="H17" s="4" t="s">
        <v>37</v>
      </c>
      <c r="I17" s="4">
        <v>5</v>
      </c>
      <c r="J17" s="4">
        <v>6.1</v>
      </c>
      <c r="K17" s="7">
        <v>1185</v>
      </c>
      <c r="L17" s="4">
        <f t="shared" si="7"/>
        <v>6.1</v>
      </c>
      <c r="M17" s="4">
        <v>1</v>
      </c>
      <c r="N17" s="4" t="s">
        <v>37</v>
      </c>
      <c r="O17" s="7">
        <v>5</v>
      </c>
      <c r="P17" s="4">
        <v>6.1</v>
      </c>
      <c r="Q17" s="7">
        <v>917</v>
      </c>
      <c r="R17" s="5">
        <f t="shared" si="8"/>
        <v>6.4499999999999993</v>
      </c>
      <c r="S17" s="5">
        <v>1</v>
      </c>
      <c r="T17" s="5" t="s">
        <v>37</v>
      </c>
      <c r="U17" s="5" t="s">
        <v>20</v>
      </c>
      <c r="V17" s="5" t="s">
        <v>38</v>
      </c>
      <c r="W17" s="5" t="s">
        <v>39</v>
      </c>
      <c r="X17" s="5"/>
      <c r="Y17" s="5">
        <v>1</v>
      </c>
      <c r="Z17" s="5" t="s">
        <v>37</v>
      </c>
      <c r="AA17" s="5" t="s">
        <v>20</v>
      </c>
      <c r="AB17" s="5" t="s">
        <v>40</v>
      </c>
      <c r="AC17" s="9">
        <v>14292</v>
      </c>
      <c r="AD17" s="5"/>
      <c r="AE17" s="5"/>
      <c r="AF17" s="5"/>
      <c r="AG17" s="5"/>
      <c r="AH17" s="5"/>
      <c r="AI17" s="5"/>
      <c r="AJ17" s="5"/>
    </row>
    <row r="18" spans="1:36" ht="24.75" customHeight="1">
      <c r="A18" s="4">
        <v>1</v>
      </c>
      <c r="B18" s="4" t="s">
        <v>41</v>
      </c>
      <c r="C18" s="4">
        <v>7.5</v>
      </c>
      <c r="D18" s="4">
        <v>8.5</v>
      </c>
      <c r="E18" s="7">
        <v>4088</v>
      </c>
      <c r="F18" s="4">
        <f t="shared" si="6"/>
        <v>8.5</v>
      </c>
      <c r="G18" s="4">
        <v>1</v>
      </c>
      <c r="H18" s="4" t="s">
        <v>41</v>
      </c>
      <c r="I18" s="4">
        <v>7.5</v>
      </c>
      <c r="J18" s="4">
        <v>7.8</v>
      </c>
      <c r="K18" s="7">
        <v>799</v>
      </c>
      <c r="L18" s="4">
        <f t="shared" si="7"/>
        <v>7.82</v>
      </c>
      <c r="M18" s="4">
        <v>1</v>
      </c>
      <c r="N18" s="4" t="s">
        <v>41</v>
      </c>
      <c r="O18" s="4">
        <v>7.5</v>
      </c>
      <c r="P18" s="4">
        <v>6.7</v>
      </c>
      <c r="Q18" s="7">
        <v>1586</v>
      </c>
      <c r="R18" s="5">
        <f t="shared" si="8"/>
        <v>6.7</v>
      </c>
      <c r="S18" s="5">
        <v>1</v>
      </c>
      <c r="T18" s="5" t="s">
        <v>41</v>
      </c>
      <c r="U18" s="5" t="s">
        <v>24</v>
      </c>
      <c r="V18" s="5" t="s">
        <v>42</v>
      </c>
      <c r="W18" s="9">
        <v>17828</v>
      </c>
      <c r="X18" s="5"/>
      <c r="Y18" s="5">
        <v>1</v>
      </c>
      <c r="Z18" s="5" t="s">
        <v>41</v>
      </c>
      <c r="AA18" s="5" t="s">
        <v>24</v>
      </c>
      <c r="AB18" s="5" t="s">
        <v>27</v>
      </c>
      <c r="AC18" s="9">
        <v>4717</v>
      </c>
      <c r="AD18" s="5"/>
      <c r="AE18" s="5"/>
      <c r="AF18" s="5"/>
      <c r="AG18" s="5"/>
      <c r="AH18" s="5"/>
      <c r="AI18" s="5"/>
      <c r="AJ18" s="5"/>
    </row>
    <row r="19" spans="1:36" ht="24.75" customHeight="1">
      <c r="A19" s="4">
        <v>1</v>
      </c>
      <c r="B19" s="4" t="s">
        <v>43</v>
      </c>
      <c r="C19" s="4">
        <v>10</v>
      </c>
      <c r="D19" s="4">
        <v>10</v>
      </c>
      <c r="E19" s="4">
        <v>10.9</v>
      </c>
      <c r="F19" s="4">
        <f t="shared" si="6"/>
        <v>10</v>
      </c>
      <c r="G19" s="4">
        <v>1</v>
      </c>
      <c r="H19" s="4" t="s">
        <v>43</v>
      </c>
      <c r="I19" s="4">
        <v>10</v>
      </c>
      <c r="J19" s="4">
        <v>6.7</v>
      </c>
      <c r="K19" s="7">
        <v>924</v>
      </c>
      <c r="L19" s="4">
        <f t="shared" si="7"/>
        <v>6.7</v>
      </c>
      <c r="M19" s="4">
        <v>1</v>
      </c>
      <c r="N19" s="4" t="s">
        <v>43</v>
      </c>
      <c r="O19" s="7">
        <v>10</v>
      </c>
      <c r="P19" s="4">
        <v>6.7</v>
      </c>
      <c r="Q19" s="7">
        <v>1654</v>
      </c>
      <c r="R19" s="5">
        <f t="shared" si="8"/>
        <v>6.7</v>
      </c>
      <c r="S19" s="5">
        <v>1</v>
      </c>
      <c r="T19" s="5" t="s">
        <v>43</v>
      </c>
      <c r="U19" s="5" t="s">
        <v>27</v>
      </c>
      <c r="V19" s="5" t="s">
        <v>44</v>
      </c>
      <c r="W19" s="9">
        <v>11506</v>
      </c>
      <c r="X19" s="5"/>
      <c r="Y19" s="5">
        <v>1</v>
      </c>
      <c r="Z19" s="5" t="s">
        <v>43</v>
      </c>
      <c r="AA19" s="5" t="s">
        <v>27</v>
      </c>
      <c r="AB19" s="5" t="s">
        <v>45</v>
      </c>
      <c r="AC19" s="9">
        <v>9618</v>
      </c>
      <c r="AD19" s="5"/>
      <c r="AE19" s="5"/>
      <c r="AF19" s="5"/>
      <c r="AG19" s="5"/>
      <c r="AH19" s="5"/>
      <c r="AI19" s="5"/>
      <c r="AJ19" s="5"/>
    </row>
    <row r="20" spans="1:36" ht="24.75" customHeight="1">
      <c r="A20" s="4"/>
      <c r="B20" s="4"/>
      <c r="C20" s="4"/>
      <c r="D20" s="4"/>
      <c r="E20" s="7"/>
      <c r="F20" s="4" t="s">
        <v>30</v>
      </c>
      <c r="G20" s="4"/>
      <c r="H20" s="4"/>
      <c r="I20" s="4"/>
      <c r="J20" s="7"/>
      <c r="K20" s="7"/>
      <c r="L20" s="4" t="s">
        <v>30</v>
      </c>
      <c r="M20" s="4"/>
      <c r="N20" s="4"/>
      <c r="O20" s="7"/>
      <c r="P20" s="4"/>
      <c r="Q20" s="7"/>
      <c r="R20" s="5" t="s">
        <v>30</v>
      </c>
      <c r="S20" s="5"/>
      <c r="T20" s="5"/>
      <c r="U20" s="5"/>
      <c r="V20" s="5"/>
      <c r="W20" s="5"/>
      <c r="X20" s="5" t="s">
        <v>30</v>
      </c>
      <c r="Y20" s="5"/>
      <c r="Z20" s="5"/>
      <c r="AA20" s="5"/>
      <c r="AB20" s="5"/>
      <c r="AC20" s="5"/>
      <c r="AD20" s="5" t="s">
        <v>30</v>
      </c>
      <c r="AE20" s="5"/>
      <c r="AF20" s="5"/>
      <c r="AG20" s="5"/>
      <c r="AH20" s="5"/>
      <c r="AI20" s="5"/>
      <c r="AJ20" s="5"/>
    </row>
    <row r="21" spans="1:36" ht="24.75" customHeight="1">
      <c r="A21" s="4">
        <v>2</v>
      </c>
      <c r="B21" s="4" t="s">
        <v>32</v>
      </c>
      <c r="C21" s="4">
        <v>0</v>
      </c>
      <c r="D21" s="4">
        <v>0</v>
      </c>
      <c r="E21" s="7">
        <v>10077</v>
      </c>
      <c r="F21" s="4">
        <f t="shared" ref="F21:F25" si="9">IFERROR(AVERAGE(E15,E21),(VALUE(E15)+VALUE(E21))/2)</f>
        <v>9112.5</v>
      </c>
      <c r="G21" s="4">
        <v>2</v>
      </c>
      <c r="H21" s="4" t="s">
        <v>32</v>
      </c>
      <c r="I21" s="4">
        <v>0</v>
      </c>
      <c r="J21" s="7">
        <v>0</v>
      </c>
      <c r="K21" s="7">
        <v>864</v>
      </c>
      <c r="L21" s="4">
        <f t="shared" ref="L21:L25" si="10">IFERROR(AVERAGE(K15,K21),(VALUE(K15)+VALUE(K21))/2)</f>
        <v>1314</v>
      </c>
      <c r="M21" s="4">
        <v>2</v>
      </c>
      <c r="N21" s="4" t="s">
        <v>32</v>
      </c>
      <c r="O21" s="7">
        <v>0</v>
      </c>
      <c r="P21" s="4">
        <v>0</v>
      </c>
      <c r="Q21" s="7">
        <v>1101</v>
      </c>
      <c r="R21" s="5">
        <f t="shared" ref="R21:R25" si="11">IFERROR(AVERAGE(Q15,Q21),(VALUE(Q15)+VALUE(Q21))/2)</f>
        <v>1191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ht="24.75" customHeight="1">
      <c r="A22" s="4">
        <v>2</v>
      </c>
      <c r="B22" s="4" t="s">
        <v>33</v>
      </c>
      <c r="C22" s="4">
        <v>2.5</v>
      </c>
      <c r="D22" s="4">
        <v>1.56</v>
      </c>
      <c r="E22" s="7">
        <v>4878</v>
      </c>
      <c r="F22" s="4">
        <f t="shared" si="9"/>
        <v>5231.5</v>
      </c>
      <c r="G22" s="4">
        <v>2</v>
      </c>
      <c r="H22" s="4" t="s">
        <v>33</v>
      </c>
      <c r="I22" s="4">
        <v>2.5</v>
      </c>
      <c r="J22" s="4">
        <v>0</v>
      </c>
      <c r="K22" s="7">
        <v>1062</v>
      </c>
      <c r="L22" s="4">
        <f t="shared" si="10"/>
        <v>970.5</v>
      </c>
      <c r="M22" s="4">
        <v>2</v>
      </c>
      <c r="N22" s="4" t="s">
        <v>33</v>
      </c>
      <c r="O22" s="4">
        <v>2.5</v>
      </c>
      <c r="P22" s="4">
        <v>1.8</v>
      </c>
      <c r="Q22" s="7">
        <v>1549</v>
      </c>
      <c r="R22" s="5">
        <f t="shared" si="11"/>
        <v>1213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ht="24.75" customHeight="1">
      <c r="A23" s="4">
        <v>2</v>
      </c>
      <c r="B23" s="4" t="s">
        <v>37</v>
      </c>
      <c r="C23" s="4">
        <v>5</v>
      </c>
      <c r="D23" s="4">
        <v>5.6</v>
      </c>
      <c r="E23" s="7">
        <v>3.86</v>
      </c>
      <c r="F23" s="4">
        <f t="shared" si="9"/>
        <v>2784.93</v>
      </c>
      <c r="G23" s="4">
        <v>2</v>
      </c>
      <c r="H23" s="4" t="s">
        <v>37</v>
      </c>
      <c r="I23" s="4">
        <v>5</v>
      </c>
      <c r="J23" s="4">
        <v>6.1</v>
      </c>
      <c r="K23" s="7">
        <v>912</v>
      </c>
      <c r="L23" s="4">
        <f t="shared" si="10"/>
        <v>1048.5</v>
      </c>
      <c r="M23" s="4">
        <v>2</v>
      </c>
      <c r="N23" s="4" t="s">
        <v>37</v>
      </c>
      <c r="O23" s="7">
        <v>5</v>
      </c>
      <c r="P23" s="4">
        <v>6.8</v>
      </c>
      <c r="Q23" s="7">
        <v>1822</v>
      </c>
      <c r="R23" s="5">
        <f t="shared" si="11"/>
        <v>1369.5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ht="24.75" customHeight="1">
      <c r="A24" s="4">
        <v>2</v>
      </c>
      <c r="B24" s="4" t="s">
        <v>41</v>
      </c>
      <c r="C24" s="4">
        <v>7.5</v>
      </c>
      <c r="D24" s="4">
        <v>8.5</v>
      </c>
      <c r="E24" s="7">
        <v>1336</v>
      </c>
      <c r="F24" s="4">
        <f t="shared" si="9"/>
        <v>2712</v>
      </c>
      <c r="G24" s="4">
        <v>2</v>
      </c>
      <c r="H24" s="4" t="s">
        <v>41</v>
      </c>
      <c r="I24" s="4">
        <v>7.5</v>
      </c>
      <c r="J24" s="4">
        <v>7.84</v>
      </c>
      <c r="K24" s="7">
        <v>829</v>
      </c>
      <c r="L24" s="4">
        <f t="shared" si="10"/>
        <v>814</v>
      </c>
      <c r="M24" s="4">
        <v>2</v>
      </c>
      <c r="N24" s="4" t="s">
        <v>41</v>
      </c>
      <c r="O24" s="4">
        <v>7.5</v>
      </c>
      <c r="P24" s="4">
        <v>6.7</v>
      </c>
      <c r="Q24" s="7">
        <v>1539</v>
      </c>
      <c r="R24" s="5">
        <f t="shared" si="11"/>
        <v>1562.5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ht="24.75" customHeight="1">
      <c r="A25" s="4">
        <v>2</v>
      </c>
      <c r="B25" s="4" t="s">
        <v>43</v>
      </c>
      <c r="C25" s="4">
        <v>10</v>
      </c>
      <c r="D25" s="4">
        <v>10</v>
      </c>
      <c r="E25" s="7">
        <v>1263</v>
      </c>
      <c r="F25" s="4">
        <f t="shared" si="9"/>
        <v>636.95000000000005</v>
      </c>
      <c r="G25" s="4">
        <v>2</v>
      </c>
      <c r="H25" s="4" t="s">
        <v>43</v>
      </c>
      <c r="I25" s="4">
        <v>10</v>
      </c>
      <c r="J25" s="4">
        <v>6.7</v>
      </c>
      <c r="K25" s="7">
        <v>978</v>
      </c>
      <c r="L25" s="4">
        <f t="shared" si="10"/>
        <v>951</v>
      </c>
      <c r="M25" s="4">
        <v>2</v>
      </c>
      <c r="N25" s="4" t="s">
        <v>43</v>
      </c>
      <c r="O25" s="7">
        <v>10</v>
      </c>
      <c r="P25" s="4">
        <v>6.7</v>
      </c>
      <c r="Q25" s="7">
        <v>1378</v>
      </c>
      <c r="R25" s="5">
        <f t="shared" si="11"/>
        <v>1516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ht="24.75" customHeight="1">
      <c r="A26" s="1" t="s">
        <v>46</v>
      </c>
      <c r="B26" s="2"/>
      <c r="C26" s="2"/>
      <c r="D26" s="2"/>
      <c r="E26" s="2"/>
      <c r="F26" s="2"/>
      <c r="G26" s="1" t="s">
        <v>46</v>
      </c>
      <c r="H26" s="2"/>
      <c r="I26" s="2"/>
      <c r="J26" s="2"/>
      <c r="K26" s="2"/>
      <c r="L26" s="2"/>
      <c r="M26" s="1" t="s">
        <v>46</v>
      </c>
      <c r="N26" s="2"/>
      <c r="O26" s="2"/>
      <c r="P26" s="2"/>
      <c r="Q26" s="2"/>
      <c r="R26" s="2"/>
      <c r="S26" s="1" t="s">
        <v>46</v>
      </c>
      <c r="T26" s="2"/>
      <c r="U26" s="2"/>
      <c r="V26" s="2"/>
      <c r="W26" s="2"/>
      <c r="X26" s="2"/>
      <c r="Y26" s="1" t="s">
        <v>46</v>
      </c>
      <c r="Z26" s="2"/>
      <c r="AA26" s="2"/>
      <c r="AB26" s="2"/>
      <c r="AC26" s="2"/>
      <c r="AD26" s="2"/>
      <c r="AE26" s="1" t="s">
        <v>46</v>
      </c>
      <c r="AF26" s="2"/>
      <c r="AG26" s="2"/>
      <c r="AH26" s="2"/>
      <c r="AI26" s="2"/>
      <c r="AJ26" s="2"/>
    </row>
    <row r="27" spans="1:36" ht="24.75" customHeight="1">
      <c r="A27" s="4">
        <v>1</v>
      </c>
      <c r="B27" s="4" t="s">
        <v>47</v>
      </c>
      <c r="C27" s="4">
        <v>0</v>
      </c>
      <c r="D27" s="4">
        <v>0</v>
      </c>
      <c r="E27" s="7">
        <v>3339</v>
      </c>
      <c r="F27" s="4">
        <f t="shared" ref="F27:F31" si="12">IFERROR(AVERAGE(D27,D33),(VALUE(D27)+VALUE(D33))/2)</f>
        <v>0</v>
      </c>
      <c r="G27" s="4">
        <v>1</v>
      </c>
      <c r="H27" s="4" t="s">
        <v>47</v>
      </c>
      <c r="I27" s="4">
        <v>0</v>
      </c>
      <c r="J27" s="4">
        <v>0</v>
      </c>
      <c r="K27" s="7">
        <v>1117</v>
      </c>
      <c r="L27" s="4">
        <f t="shared" ref="L27:L31" si="13">IFERROR(AVERAGE(J27,J33),(VALUE(J27)+VALUE(J33))/2)</f>
        <v>0</v>
      </c>
      <c r="M27" s="4">
        <v>1</v>
      </c>
      <c r="N27" s="4" t="s">
        <v>47</v>
      </c>
      <c r="O27" s="7">
        <v>0</v>
      </c>
      <c r="P27" s="4">
        <v>0</v>
      </c>
      <c r="Q27" s="7">
        <v>965</v>
      </c>
      <c r="R27" s="5">
        <f t="shared" ref="R27:R31" si="14">IFERROR(AVERAGE(P27,P33),(VALUE(P27)+VALUE(P33))/2)</f>
        <v>0</v>
      </c>
      <c r="S27" s="5">
        <v>1</v>
      </c>
      <c r="T27" s="5" t="s">
        <v>47</v>
      </c>
      <c r="U27" s="5" t="s">
        <v>12</v>
      </c>
      <c r="V27" s="5" t="s">
        <v>12</v>
      </c>
      <c r="W27" s="5" t="s">
        <v>48</v>
      </c>
      <c r="X27" s="5"/>
      <c r="Y27" s="5">
        <v>1</v>
      </c>
      <c r="Z27" s="5" t="s">
        <v>47</v>
      </c>
      <c r="AA27" s="5" t="s">
        <v>12</v>
      </c>
      <c r="AB27" s="5" t="s">
        <v>12</v>
      </c>
      <c r="AC27" s="9">
        <v>7075</v>
      </c>
      <c r="AD27" s="5"/>
      <c r="AE27" s="5"/>
      <c r="AF27" s="5"/>
      <c r="AG27" s="5"/>
      <c r="AH27" s="5"/>
      <c r="AI27" s="5"/>
      <c r="AJ27" s="5"/>
    </row>
    <row r="28" spans="1:36" ht="24.75" customHeight="1">
      <c r="A28" s="4">
        <v>1</v>
      </c>
      <c r="B28" s="4" t="s">
        <v>49</v>
      </c>
      <c r="C28" s="4">
        <v>2.5</v>
      </c>
      <c r="D28" s="4">
        <v>1.5</v>
      </c>
      <c r="E28" s="7">
        <v>3175</v>
      </c>
      <c r="F28" s="4">
        <f t="shared" si="12"/>
        <v>2</v>
      </c>
      <c r="G28" s="4">
        <v>1</v>
      </c>
      <c r="H28" s="4" t="s">
        <v>49</v>
      </c>
      <c r="I28" s="4">
        <v>2.5</v>
      </c>
      <c r="J28" s="4">
        <v>2</v>
      </c>
      <c r="K28" s="7">
        <v>774</v>
      </c>
      <c r="L28" s="5">
        <f t="shared" si="13"/>
        <v>2</v>
      </c>
      <c r="M28" s="4">
        <v>1</v>
      </c>
      <c r="N28" s="4" t="s">
        <v>49</v>
      </c>
      <c r="O28" s="4">
        <v>2.5</v>
      </c>
      <c r="P28" s="4">
        <v>1.4</v>
      </c>
      <c r="Q28" s="7">
        <v>979</v>
      </c>
      <c r="R28" s="5">
        <f t="shared" si="14"/>
        <v>1.4</v>
      </c>
      <c r="S28" s="5">
        <v>1</v>
      </c>
      <c r="T28" s="5" t="s">
        <v>49</v>
      </c>
      <c r="U28" s="5" t="s">
        <v>16</v>
      </c>
      <c r="V28" s="5" t="s">
        <v>12</v>
      </c>
      <c r="W28" s="9">
        <v>13685</v>
      </c>
      <c r="X28" s="5"/>
      <c r="Y28" s="5">
        <v>1</v>
      </c>
      <c r="Z28" s="5" t="s">
        <v>49</v>
      </c>
      <c r="AA28" s="5" t="s">
        <v>16</v>
      </c>
      <c r="AB28" s="5" t="s">
        <v>50</v>
      </c>
      <c r="AC28" s="9">
        <v>12184</v>
      </c>
      <c r="AD28" s="5"/>
      <c r="AE28" s="5"/>
      <c r="AF28" s="5"/>
      <c r="AG28" s="5"/>
      <c r="AH28" s="5"/>
      <c r="AI28" s="5"/>
      <c r="AJ28" s="5"/>
    </row>
    <row r="29" spans="1:36" ht="24.75" customHeight="1">
      <c r="A29" s="4">
        <v>1</v>
      </c>
      <c r="B29" s="4" t="s">
        <v>51</v>
      </c>
      <c r="C29" s="4">
        <v>5</v>
      </c>
      <c r="D29" s="4">
        <v>4.5</v>
      </c>
      <c r="E29" s="7">
        <v>1372</v>
      </c>
      <c r="F29" s="4">
        <f t="shared" si="12"/>
        <v>4.25</v>
      </c>
      <c r="G29" s="4">
        <v>1</v>
      </c>
      <c r="H29" s="4" t="s">
        <v>51</v>
      </c>
      <c r="I29" s="4">
        <v>5</v>
      </c>
      <c r="J29" s="4">
        <v>3.6</v>
      </c>
      <c r="K29" s="7">
        <v>791</v>
      </c>
      <c r="L29" s="5">
        <f t="shared" si="13"/>
        <v>4.2</v>
      </c>
      <c r="M29" s="4">
        <v>1</v>
      </c>
      <c r="N29" s="4" t="s">
        <v>51</v>
      </c>
      <c r="O29" s="4">
        <v>5</v>
      </c>
      <c r="P29" s="4">
        <v>4.8</v>
      </c>
      <c r="Q29" s="7">
        <v>823</v>
      </c>
      <c r="R29" s="5">
        <f t="shared" si="14"/>
        <v>5.0999999999999996</v>
      </c>
      <c r="S29" s="5">
        <v>1</v>
      </c>
      <c r="T29" s="5" t="s">
        <v>51</v>
      </c>
      <c r="U29" s="5" t="s">
        <v>20</v>
      </c>
      <c r="V29" s="5" t="s">
        <v>52</v>
      </c>
      <c r="W29" s="9">
        <v>23964</v>
      </c>
      <c r="X29" s="5"/>
      <c r="Y29" s="5">
        <v>1</v>
      </c>
      <c r="Z29" s="5" t="s">
        <v>51</v>
      </c>
      <c r="AA29" s="5" t="s">
        <v>20</v>
      </c>
      <c r="AB29" s="5" t="s">
        <v>53</v>
      </c>
      <c r="AC29" s="9">
        <v>44005</v>
      </c>
      <c r="AD29" s="5"/>
      <c r="AE29" s="5"/>
      <c r="AF29" s="5"/>
      <c r="AG29" s="5"/>
      <c r="AH29" s="5"/>
      <c r="AI29" s="5"/>
      <c r="AJ29" s="5"/>
    </row>
    <row r="30" spans="1:36" ht="24.75" customHeight="1">
      <c r="A30" s="4">
        <v>1</v>
      </c>
      <c r="B30" s="4" t="s">
        <v>54</v>
      </c>
      <c r="C30" s="4">
        <v>7.5</v>
      </c>
      <c r="D30" s="4">
        <v>7.5</v>
      </c>
      <c r="E30" s="7">
        <v>2215</v>
      </c>
      <c r="F30" s="4">
        <f t="shared" si="12"/>
        <v>7.5</v>
      </c>
      <c r="G30" s="4">
        <v>1</v>
      </c>
      <c r="H30" s="4" t="s">
        <v>54</v>
      </c>
      <c r="I30" s="4">
        <v>7.5</v>
      </c>
      <c r="J30" s="4">
        <v>6.8</v>
      </c>
      <c r="K30" s="7">
        <v>1005</v>
      </c>
      <c r="L30" s="5">
        <f t="shared" si="13"/>
        <v>7.4</v>
      </c>
      <c r="M30" s="4">
        <v>1</v>
      </c>
      <c r="N30" s="4" t="s">
        <v>54</v>
      </c>
      <c r="O30" s="4">
        <v>7.5</v>
      </c>
      <c r="P30" s="4">
        <v>6.8</v>
      </c>
      <c r="Q30" s="7">
        <v>1864</v>
      </c>
      <c r="R30" s="5">
        <f t="shared" si="14"/>
        <v>6.8</v>
      </c>
      <c r="S30" s="5">
        <v>1</v>
      </c>
      <c r="T30" s="5" t="s">
        <v>54</v>
      </c>
      <c r="U30" s="5" t="s">
        <v>24</v>
      </c>
      <c r="V30" s="5" t="s">
        <v>55</v>
      </c>
      <c r="W30" s="5" t="s">
        <v>56</v>
      </c>
      <c r="X30" s="5"/>
      <c r="Y30" s="5">
        <v>1</v>
      </c>
      <c r="Z30" s="5" t="s">
        <v>54</v>
      </c>
      <c r="AA30" s="5" t="s">
        <v>24</v>
      </c>
      <c r="AB30" s="5" t="s">
        <v>57</v>
      </c>
      <c r="AC30" s="9">
        <v>29452</v>
      </c>
      <c r="AD30" s="5"/>
      <c r="AE30" s="5"/>
      <c r="AF30" s="5"/>
      <c r="AG30" s="5"/>
      <c r="AH30" s="5"/>
      <c r="AI30" s="5"/>
      <c r="AJ30" s="5"/>
    </row>
    <row r="31" spans="1:36" ht="24.75" customHeight="1">
      <c r="A31" s="4">
        <v>1</v>
      </c>
      <c r="B31" s="4" t="s">
        <v>58</v>
      </c>
      <c r="C31" s="4">
        <v>10</v>
      </c>
      <c r="D31" s="4">
        <v>10</v>
      </c>
      <c r="E31" s="7">
        <v>5289</v>
      </c>
      <c r="F31" s="4">
        <f t="shared" si="12"/>
        <v>10</v>
      </c>
      <c r="G31" s="4">
        <v>1</v>
      </c>
      <c r="H31" s="4" t="s">
        <v>58</v>
      </c>
      <c r="I31" s="4">
        <v>10</v>
      </c>
      <c r="J31" s="4">
        <v>8</v>
      </c>
      <c r="K31" s="7">
        <v>862</v>
      </c>
      <c r="L31" s="5">
        <f t="shared" si="13"/>
        <v>8</v>
      </c>
      <c r="M31" s="4">
        <v>1</v>
      </c>
      <c r="N31" s="4" t="s">
        <v>58</v>
      </c>
      <c r="O31" s="4">
        <v>10</v>
      </c>
      <c r="P31" s="4">
        <v>8</v>
      </c>
      <c r="Q31" s="7">
        <v>924</v>
      </c>
      <c r="R31" s="5">
        <f t="shared" si="14"/>
        <v>8</v>
      </c>
      <c r="S31" s="5">
        <v>1</v>
      </c>
      <c r="T31" s="5" t="s">
        <v>58</v>
      </c>
      <c r="U31" s="5" t="s">
        <v>27</v>
      </c>
      <c r="V31" s="5" t="s">
        <v>55</v>
      </c>
      <c r="W31" s="9">
        <v>24264</v>
      </c>
      <c r="X31" s="5"/>
      <c r="Y31" s="5">
        <v>1</v>
      </c>
      <c r="Z31" s="5" t="s">
        <v>58</v>
      </c>
      <c r="AA31" s="5" t="s">
        <v>27</v>
      </c>
      <c r="AB31" s="5" t="s">
        <v>55</v>
      </c>
      <c r="AC31" s="9">
        <v>8097</v>
      </c>
      <c r="AD31" s="5"/>
      <c r="AE31" s="5"/>
      <c r="AF31" s="5"/>
      <c r="AG31" s="5"/>
      <c r="AH31" s="5"/>
      <c r="AI31" s="5"/>
      <c r="AJ31" s="5"/>
    </row>
    <row r="32" spans="1:36" ht="24.75" customHeight="1">
      <c r="A32" s="4"/>
      <c r="B32" s="4"/>
      <c r="C32" s="4"/>
      <c r="D32" s="4"/>
      <c r="E32" s="7"/>
      <c r="F32" s="4" t="s">
        <v>30</v>
      </c>
      <c r="G32" s="4"/>
      <c r="H32" s="4"/>
      <c r="I32" s="4"/>
      <c r="J32" s="7"/>
      <c r="K32" s="7"/>
      <c r="L32" s="5" t="s">
        <v>30</v>
      </c>
      <c r="M32" s="4"/>
      <c r="N32" s="4"/>
      <c r="O32" s="4"/>
      <c r="P32" s="4"/>
      <c r="Q32" s="7"/>
      <c r="R32" s="5" t="s">
        <v>30</v>
      </c>
      <c r="S32" s="5"/>
      <c r="T32" s="5"/>
      <c r="U32" s="5"/>
      <c r="V32" s="5"/>
      <c r="W32" s="5"/>
      <c r="X32" s="5" t="s">
        <v>30</v>
      </c>
      <c r="Y32" s="5"/>
      <c r="Z32" s="5"/>
      <c r="AA32" s="5"/>
      <c r="AB32" s="5"/>
      <c r="AC32" s="5"/>
      <c r="AD32" s="5" t="s">
        <v>30</v>
      </c>
      <c r="AE32" s="5"/>
      <c r="AF32" s="5"/>
      <c r="AG32" s="5"/>
      <c r="AH32" s="5"/>
      <c r="AI32" s="5"/>
      <c r="AJ32" s="5"/>
    </row>
    <row r="33" spans="1:36" ht="24.75" customHeight="1">
      <c r="A33" s="4">
        <v>2</v>
      </c>
      <c r="B33" s="4" t="s">
        <v>47</v>
      </c>
      <c r="C33" s="4">
        <v>0</v>
      </c>
      <c r="D33" s="4">
        <v>0</v>
      </c>
      <c r="E33" s="7">
        <v>4375</v>
      </c>
      <c r="F33" s="4">
        <f t="shared" ref="F33:F37" si="15">IFERROR(AVERAGE(E27,E33),(VALUE(E27)+VALUE(E33))/2)</f>
        <v>3857</v>
      </c>
      <c r="G33" s="4">
        <v>2</v>
      </c>
      <c r="H33" s="4" t="s">
        <v>47</v>
      </c>
      <c r="I33" s="4">
        <v>0</v>
      </c>
      <c r="J33" s="7">
        <v>0</v>
      </c>
      <c r="K33" s="7">
        <v>726</v>
      </c>
      <c r="L33" s="4">
        <f t="shared" ref="L33:L37" si="16">IFERROR(AVERAGE(K27,K33),(VALUE(K27)+VALUE(K33))/2)</f>
        <v>921.5</v>
      </c>
      <c r="M33" s="4">
        <v>2</v>
      </c>
      <c r="N33" s="4" t="s">
        <v>47</v>
      </c>
      <c r="O33" s="4">
        <v>0</v>
      </c>
      <c r="P33" s="4">
        <v>0</v>
      </c>
      <c r="Q33" s="7">
        <v>1194</v>
      </c>
      <c r="R33" s="5">
        <f t="shared" ref="R33:R37" si="17">IFERROR(AVERAGE(Q27,Q33),(VALUE(Q27)+VALUE(Q33))/2)</f>
        <v>1079.5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24.75" customHeight="1">
      <c r="A34" s="4">
        <v>2</v>
      </c>
      <c r="B34" s="4" t="s">
        <v>49</v>
      </c>
      <c r="C34" s="4">
        <v>2.5</v>
      </c>
      <c r="D34" s="4">
        <v>2.5</v>
      </c>
      <c r="E34" s="7">
        <v>2146</v>
      </c>
      <c r="F34" s="4">
        <f t="shared" si="15"/>
        <v>2660.5</v>
      </c>
      <c r="G34" s="4">
        <v>2</v>
      </c>
      <c r="H34" s="4" t="s">
        <v>49</v>
      </c>
      <c r="I34" s="4">
        <v>2.5</v>
      </c>
      <c r="J34" s="4">
        <v>2</v>
      </c>
      <c r="K34" s="7">
        <v>2017</v>
      </c>
      <c r="L34" s="4">
        <f t="shared" si="16"/>
        <v>1395.5</v>
      </c>
      <c r="M34" s="4">
        <v>2</v>
      </c>
      <c r="N34" s="4" t="s">
        <v>49</v>
      </c>
      <c r="O34" s="4">
        <v>2.5</v>
      </c>
      <c r="P34" s="4">
        <v>1.4</v>
      </c>
      <c r="Q34" s="7">
        <v>1512</v>
      </c>
      <c r="R34" s="5">
        <f t="shared" si="17"/>
        <v>1245.5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24.75" customHeight="1">
      <c r="A35" s="4">
        <v>2</v>
      </c>
      <c r="B35" s="4" t="s">
        <v>51</v>
      </c>
      <c r="C35" s="4">
        <v>5</v>
      </c>
      <c r="D35" s="4">
        <v>4</v>
      </c>
      <c r="E35" s="7">
        <v>10069</v>
      </c>
      <c r="F35" s="4">
        <f t="shared" si="15"/>
        <v>5720.5</v>
      </c>
      <c r="G35" s="4">
        <v>2</v>
      </c>
      <c r="H35" s="4" t="s">
        <v>51</v>
      </c>
      <c r="I35" s="4">
        <v>5</v>
      </c>
      <c r="J35" s="4">
        <v>4.8</v>
      </c>
      <c r="K35" s="7">
        <v>901</v>
      </c>
      <c r="L35" s="4">
        <f t="shared" si="16"/>
        <v>846</v>
      </c>
      <c r="M35" s="4">
        <v>2</v>
      </c>
      <c r="N35" s="4" t="s">
        <v>51</v>
      </c>
      <c r="O35" s="4">
        <v>5</v>
      </c>
      <c r="P35" s="4">
        <v>5.4</v>
      </c>
      <c r="Q35" s="7">
        <v>1069</v>
      </c>
      <c r="R35" s="5">
        <f t="shared" si="17"/>
        <v>946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ht="24.75" customHeight="1">
      <c r="A36" s="4">
        <v>2</v>
      </c>
      <c r="B36" s="4" t="s">
        <v>54</v>
      </c>
      <c r="C36" s="4">
        <v>7.5</v>
      </c>
      <c r="D36" s="4">
        <v>7.5</v>
      </c>
      <c r="E36" s="7">
        <v>5357</v>
      </c>
      <c r="F36" s="4">
        <f t="shared" si="15"/>
        <v>3786</v>
      </c>
      <c r="G36" s="4">
        <v>2</v>
      </c>
      <c r="H36" s="4" t="s">
        <v>54</v>
      </c>
      <c r="I36" s="4">
        <v>7.5</v>
      </c>
      <c r="J36" s="4">
        <v>8</v>
      </c>
      <c r="K36" s="7">
        <v>792</v>
      </c>
      <c r="L36" s="4">
        <f t="shared" si="16"/>
        <v>898.5</v>
      </c>
      <c r="M36" s="4">
        <v>2</v>
      </c>
      <c r="N36" s="4" t="s">
        <v>54</v>
      </c>
      <c r="O36" s="4">
        <v>7.5</v>
      </c>
      <c r="P36" s="4">
        <v>6.8</v>
      </c>
      <c r="Q36" s="7">
        <v>1117</v>
      </c>
      <c r="R36" s="5">
        <f t="shared" si="17"/>
        <v>1490.5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ht="24.75" customHeight="1">
      <c r="A37" s="4">
        <v>2</v>
      </c>
      <c r="B37" s="4" t="s">
        <v>58</v>
      </c>
      <c r="C37" s="4">
        <v>10</v>
      </c>
      <c r="D37" s="4">
        <v>10</v>
      </c>
      <c r="E37" s="7">
        <v>7452</v>
      </c>
      <c r="F37" s="4">
        <f t="shared" si="15"/>
        <v>6370.5</v>
      </c>
      <c r="G37" s="4">
        <v>2</v>
      </c>
      <c r="H37" s="4" t="s">
        <v>58</v>
      </c>
      <c r="I37" s="4">
        <v>10</v>
      </c>
      <c r="J37" s="4">
        <v>8</v>
      </c>
      <c r="K37" s="7">
        <v>821</v>
      </c>
      <c r="L37" s="4">
        <f t="shared" si="16"/>
        <v>841.5</v>
      </c>
      <c r="M37" s="4">
        <v>2</v>
      </c>
      <c r="N37" s="4" t="s">
        <v>58</v>
      </c>
      <c r="O37" s="4">
        <v>10</v>
      </c>
      <c r="P37" s="7">
        <v>8</v>
      </c>
      <c r="Q37" s="7">
        <v>1606</v>
      </c>
      <c r="R37" s="5">
        <f t="shared" si="17"/>
        <v>1265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ht="24.75" customHeight="1">
      <c r="A38" s="1" t="s">
        <v>59</v>
      </c>
      <c r="B38" s="2"/>
      <c r="C38" s="2"/>
      <c r="D38" s="2"/>
      <c r="E38" s="2"/>
      <c r="F38" s="2"/>
      <c r="G38" s="1" t="s">
        <v>59</v>
      </c>
      <c r="H38" s="2"/>
      <c r="I38" s="2"/>
      <c r="J38" s="2"/>
      <c r="K38" s="2"/>
      <c r="L38" s="2"/>
      <c r="M38" s="1" t="s">
        <v>59</v>
      </c>
      <c r="N38" s="2"/>
      <c r="O38" s="2"/>
      <c r="P38" s="2"/>
      <c r="Q38" s="2"/>
      <c r="R38" s="2"/>
      <c r="S38" s="1" t="s">
        <v>59</v>
      </c>
      <c r="T38" s="2"/>
      <c r="U38" s="2"/>
      <c r="V38" s="2"/>
      <c r="W38" s="2"/>
      <c r="X38" s="2"/>
      <c r="Y38" s="1" t="s">
        <v>59</v>
      </c>
      <c r="Z38" s="2"/>
      <c r="AA38" s="2"/>
      <c r="AB38" s="2"/>
      <c r="AC38" s="2"/>
      <c r="AD38" s="2"/>
      <c r="AE38" s="1" t="s">
        <v>59</v>
      </c>
      <c r="AF38" s="2"/>
      <c r="AG38" s="2"/>
      <c r="AH38" s="2"/>
      <c r="AI38" s="2"/>
      <c r="AJ38" s="2"/>
    </row>
    <row r="39" spans="1:36" ht="24.75" customHeight="1">
      <c r="A39" s="4">
        <v>1</v>
      </c>
      <c r="B39" s="4" t="s">
        <v>60</v>
      </c>
      <c r="C39" s="4">
        <v>0</v>
      </c>
      <c r="D39" s="4">
        <v>0</v>
      </c>
      <c r="E39" s="7">
        <v>3049</v>
      </c>
      <c r="F39" s="4">
        <f t="shared" ref="F39:F43" si="18">IFERROR(AVERAGE(D39,D45),(VALUE(D39)+VALUE(D45))/2)</f>
        <v>0</v>
      </c>
      <c r="G39" s="4">
        <v>1</v>
      </c>
      <c r="H39" s="4" t="s">
        <v>60</v>
      </c>
      <c r="I39" s="4">
        <v>0</v>
      </c>
      <c r="J39" s="4">
        <v>0</v>
      </c>
      <c r="K39" s="7">
        <v>4107</v>
      </c>
      <c r="L39" s="4">
        <f t="shared" ref="L39:L43" si="19">IFERROR(AVERAGE(J39,J45),(VALUE(J39)+VALUE(J45))/2)</f>
        <v>0</v>
      </c>
      <c r="M39" s="4">
        <v>1</v>
      </c>
      <c r="N39" s="4" t="s">
        <v>60</v>
      </c>
      <c r="O39" s="4">
        <v>0</v>
      </c>
      <c r="P39" s="7">
        <v>0</v>
      </c>
      <c r="Q39" s="7">
        <v>1247</v>
      </c>
      <c r="R39" s="5">
        <f t="shared" ref="R39:R43" si="20">IFERROR(AVERAGE(P39,P45),(VALUE(P39)+VALUE(P45))/2)</f>
        <v>0</v>
      </c>
      <c r="S39" s="5">
        <v>1</v>
      </c>
      <c r="T39" s="5" t="s">
        <v>60</v>
      </c>
      <c r="U39" s="5" t="s">
        <v>12</v>
      </c>
      <c r="V39" s="5" t="s">
        <v>12</v>
      </c>
      <c r="W39" s="9">
        <v>12728</v>
      </c>
      <c r="X39" s="5"/>
      <c r="Y39" s="5">
        <v>1</v>
      </c>
      <c r="Z39" s="5" t="s">
        <v>60</v>
      </c>
      <c r="AA39" s="5" t="s">
        <v>12</v>
      </c>
      <c r="AB39" s="5" t="s">
        <v>12</v>
      </c>
      <c r="AC39" s="9">
        <v>5279</v>
      </c>
      <c r="AD39" s="5"/>
      <c r="AE39" s="5"/>
      <c r="AF39" s="5"/>
      <c r="AG39" s="5"/>
      <c r="AH39" s="5"/>
      <c r="AI39" s="5"/>
      <c r="AJ39" s="5"/>
    </row>
    <row r="40" spans="1:36" ht="24.75" customHeight="1">
      <c r="A40" s="4">
        <v>1</v>
      </c>
      <c r="B40" s="4" t="s">
        <v>61</v>
      </c>
      <c r="C40" s="4">
        <v>2.5</v>
      </c>
      <c r="D40" s="4">
        <v>3.5</v>
      </c>
      <c r="E40" s="7">
        <v>1621</v>
      </c>
      <c r="F40" s="4">
        <f t="shared" si="18"/>
        <v>3.9</v>
      </c>
      <c r="G40" s="4">
        <v>1</v>
      </c>
      <c r="H40" s="4" t="s">
        <v>61</v>
      </c>
      <c r="I40" s="4">
        <v>2.5</v>
      </c>
      <c r="J40" s="4">
        <v>3.73</v>
      </c>
      <c r="K40" s="7">
        <v>944</v>
      </c>
      <c r="L40" s="4">
        <f t="shared" si="19"/>
        <v>3.7149999999999999</v>
      </c>
      <c r="M40" s="4">
        <v>1</v>
      </c>
      <c r="N40" s="4" t="s">
        <v>61</v>
      </c>
      <c r="O40" s="4">
        <v>2.5</v>
      </c>
      <c r="P40" s="4">
        <v>3.7</v>
      </c>
      <c r="Q40" s="4">
        <v>1.44</v>
      </c>
      <c r="R40" s="5">
        <f t="shared" si="20"/>
        <v>3.7149999999999999</v>
      </c>
      <c r="S40" s="5">
        <v>1</v>
      </c>
      <c r="T40" s="5" t="s">
        <v>61</v>
      </c>
      <c r="U40" s="5" t="s">
        <v>16</v>
      </c>
      <c r="V40" s="5" t="s">
        <v>62</v>
      </c>
      <c r="W40" s="9">
        <v>21256</v>
      </c>
      <c r="X40" s="5"/>
      <c r="Y40" s="5">
        <v>1</v>
      </c>
      <c r="Z40" s="5" t="s">
        <v>61</v>
      </c>
      <c r="AA40" s="5" t="s">
        <v>16</v>
      </c>
      <c r="AB40" s="5" t="s">
        <v>63</v>
      </c>
      <c r="AC40" s="9">
        <v>12341</v>
      </c>
      <c r="AD40" s="5"/>
      <c r="AE40" s="5"/>
      <c r="AF40" s="5"/>
      <c r="AG40" s="5"/>
      <c r="AH40" s="5"/>
      <c r="AI40" s="5"/>
      <c r="AJ40" s="5"/>
    </row>
    <row r="41" spans="1:36" ht="24.75" customHeight="1">
      <c r="A41" s="4">
        <v>1</v>
      </c>
      <c r="B41" s="4" t="s">
        <v>64</v>
      </c>
      <c r="C41" s="4">
        <v>5</v>
      </c>
      <c r="D41" s="4">
        <v>6.5</v>
      </c>
      <c r="E41" s="7">
        <v>3044</v>
      </c>
      <c r="F41" s="4">
        <f t="shared" si="18"/>
        <v>6</v>
      </c>
      <c r="G41" s="4">
        <v>1</v>
      </c>
      <c r="H41" s="4" t="s">
        <v>64</v>
      </c>
      <c r="I41" s="4">
        <v>5</v>
      </c>
      <c r="J41" s="4">
        <v>6.27</v>
      </c>
      <c r="K41" s="7">
        <v>686</v>
      </c>
      <c r="L41" s="4">
        <f t="shared" si="19"/>
        <v>6.0749999999999993</v>
      </c>
      <c r="M41" s="4">
        <v>1</v>
      </c>
      <c r="N41" s="4" t="s">
        <v>64</v>
      </c>
      <c r="O41" s="4">
        <v>5</v>
      </c>
      <c r="P41" s="4">
        <v>4.9000000000000004</v>
      </c>
      <c r="Q41" s="7">
        <v>1419</v>
      </c>
      <c r="R41" s="5">
        <f t="shared" si="20"/>
        <v>5.3000000000000007</v>
      </c>
      <c r="S41" s="5">
        <v>1</v>
      </c>
      <c r="T41" s="5" t="s">
        <v>64</v>
      </c>
      <c r="U41" s="5" t="s">
        <v>20</v>
      </c>
      <c r="V41" s="5" t="s">
        <v>65</v>
      </c>
      <c r="W41" s="9">
        <v>18351</v>
      </c>
      <c r="X41" s="5"/>
      <c r="Y41" s="5">
        <v>1</v>
      </c>
      <c r="Z41" s="5" t="s">
        <v>64</v>
      </c>
      <c r="AA41" s="5" t="s">
        <v>20</v>
      </c>
      <c r="AB41" s="5" t="s">
        <v>66</v>
      </c>
      <c r="AC41" s="9">
        <v>17204</v>
      </c>
      <c r="AD41" s="5"/>
      <c r="AE41" s="5"/>
      <c r="AF41" s="5"/>
      <c r="AG41" s="5"/>
      <c r="AH41" s="5"/>
      <c r="AI41" s="5"/>
      <c r="AJ41" s="5"/>
    </row>
    <row r="42" spans="1:36" ht="24.75" customHeight="1">
      <c r="A42" s="4">
        <v>1</v>
      </c>
      <c r="B42" s="4" t="s">
        <v>67</v>
      </c>
      <c r="C42" s="4">
        <v>7.5</v>
      </c>
      <c r="D42" s="4">
        <v>7.5</v>
      </c>
      <c r="E42" s="7">
        <v>6651</v>
      </c>
      <c r="F42" s="4">
        <f t="shared" si="18"/>
        <v>7.5</v>
      </c>
      <c r="G42" s="4">
        <v>1</v>
      </c>
      <c r="H42" s="4" t="s">
        <v>67</v>
      </c>
      <c r="I42" s="4">
        <v>7.5</v>
      </c>
      <c r="J42" s="4">
        <v>7.84</v>
      </c>
      <c r="K42" s="7">
        <v>963</v>
      </c>
      <c r="L42" s="4">
        <f t="shared" si="19"/>
        <v>7.07</v>
      </c>
      <c r="M42" s="4">
        <v>1</v>
      </c>
      <c r="N42" s="4" t="s">
        <v>67</v>
      </c>
      <c r="O42" s="4">
        <v>7.5</v>
      </c>
      <c r="P42" s="4">
        <v>3.7</v>
      </c>
      <c r="Q42" s="7">
        <v>1101</v>
      </c>
      <c r="R42" s="5">
        <f t="shared" si="20"/>
        <v>4.4000000000000004</v>
      </c>
      <c r="S42" s="5">
        <v>1</v>
      </c>
      <c r="T42" s="5" t="s">
        <v>67</v>
      </c>
      <c r="U42" s="5" t="s">
        <v>24</v>
      </c>
      <c r="V42" s="5" t="s">
        <v>62</v>
      </c>
      <c r="W42" s="9">
        <v>28086</v>
      </c>
      <c r="X42" s="5"/>
      <c r="Y42" s="5">
        <v>1</v>
      </c>
      <c r="Z42" s="5" t="s">
        <v>67</v>
      </c>
      <c r="AA42" s="5" t="s">
        <v>24</v>
      </c>
      <c r="AB42" s="5" t="s">
        <v>68</v>
      </c>
      <c r="AC42" s="9">
        <v>47746</v>
      </c>
      <c r="AD42" s="5"/>
      <c r="AE42" s="5"/>
      <c r="AF42" s="5"/>
      <c r="AG42" s="5"/>
      <c r="AH42" s="5"/>
      <c r="AI42" s="5"/>
      <c r="AJ42" s="5"/>
    </row>
    <row r="43" spans="1:36" ht="24.75" customHeight="1">
      <c r="A43" s="4">
        <v>1</v>
      </c>
      <c r="B43" s="4" t="s">
        <v>69</v>
      </c>
      <c r="C43" s="4">
        <v>10</v>
      </c>
      <c r="D43" s="4">
        <v>10</v>
      </c>
      <c r="E43" s="7">
        <v>4216</v>
      </c>
      <c r="F43" s="4">
        <f t="shared" si="18"/>
        <v>10</v>
      </c>
      <c r="G43" s="4">
        <v>1</v>
      </c>
      <c r="H43" s="4" t="s">
        <v>69</v>
      </c>
      <c r="I43" s="4">
        <v>10</v>
      </c>
      <c r="J43" s="4">
        <v>7.84</v>
      </c>
      <c r="K43" s="7">
        <v>746</v>
      </c>
      <c r="L43" s="4">
        <f t="shared" si="19"/>
        <v>7.84</v>
      </c>
      <c r="M43" s="4">
        <v>1</v>
      </c>
      <c r="N43" s="4" t="s">
        <v>69</v>
      </c>
      <c r="O43" s="4">
        <v>10</v>
      </c>
      <c r="P43" s="7">
        <v>7.84</v>
      </c>
      <c r="Q43" s="7">
        <v>1538</v>
      </c>
      <c r="R43" s="5">
        <f t="shared" si="20"/>
        <v>7.84</v>
      </c>
      <c r="S43" s="5">
        <v>1</v>
      </c>
      <c r="T43" s="5" t="s">
        <v>69</v>
      </c>
      <c r="U43" s="5" t="s">
        <v>27</v>
      </c>
      <c r="V43" s="5" t="s">
        <v>44</v>
      </c>
      <c r="W43" s="9">
        <v>11298</v>
      </c>
      <c r="X43" s="5"/>
      <c r="Y43" s="5">
        <v>1</v>
      </c>
      <c r="Z43" s="5" t="s">
        <v>69</v>
      </c>
      <c r="AA43" s="5" t="s">
        <v>27</v>
      </c>
      <c r="AB43" s="5" t="s">
        <v>45</v>
      </c>
      <c r="AC43" s="5" t="s">
        <v>70</v>
      </c>
      <c r="AD43" s="5"/>
      <c r="AE43" s="5"/>
      <c r="AF43" s="5"/>
      <c r="AG43" s="5"/>
      <c r="AH43" s="5"/>
      <c r="AI43" s="5"/>
      <c r="AJ43" s="5"/>
    </row>
    <row r="44" spans="1:36" ht="24.75" customHeight="1">
      <c r="A44" s="4"/>
      <c r="B44" s="4"/>
      <c r="C44" s="4"/>
      <c r="D44" s="4"/>
      <c r="E44" s="7"/>
      <c r="F44" s="4" t="s">
        <v>30</v>
      </c>
      <c r="G44" s="4"/>
      <c r="H44" s="4"/>
      <c r="I44" s="4"/>
      <c r="J44" s="7"/>
      <c r="K44" s="7"/>
      <c r="L44" s="4" t="s">
        <v>30</v>
      </c>
      <c r="M44" s="4"/>
      <c r="N44" s="4"/>
      <c r="O44" s="4"/>
      <c r="P44" s="7"/>
      <c r="Q44" s="7"/>
      <c r="R44" s="5" t="s">
        <v>30</v>
      </c>
      <c r="S44" s="5"/>
      <c r="T44" s="5"/>
      <c r="U44" s="5"/>
      <c r="V44" s="5"/>
      <c r="W44" s="5"/>
      <c r="X44" s="5" t="s">
        <v>30</v>
      </c>
      <c r="Y44" s="5"/>
      <c r="Z44" s="5"/>
      <c r="AA44" s="5"/>
      <c r="AB44" s="5"/>
      <c r="AC44" s="5"/>
      <c r="AD44" s="5" t="s">
        <v>30</v>
      </c>
      <c r="AE44" s="5"/>
      <c r="AF44" s="5"/>
      <c r="AG44" s="5"/>
      <c r="AH44" s="5"/>
      <c r="AI44" s="5"/>
      <c r="AJ44" s="5"/>
    </row>
    <row r="45" spans="1:36" ht="24.75" customHeight="1">
      <c r="A45" s="4">
        <v>2</v>
      </c>
      <c r="B45" s="4" t="s">
        <v>60</v>
      </c>
      <c r="C45" s="4">
        <v>0</v>
      </c>
      <c r="D45" s="4">
        <v>0</v>
      </c>
      <c r="E45" s="7">
        <v>1381</v>
      </c>
      <c r="F45" s="4">
        <f t="shared" ref="F45:F49" si="21">IFERROR(AVERAGE(E39,E45),(VALUE(E39)+VALUE(E45))/2)</f>
        <v>2215</v>
      </c>
      <c r="G45" s="4">
        <v>2</v>
      </c>
      <c r="H45" s="4" t="s">
        <v>60</v>
      </c>
      <c r="I45" s="4">
        <v>0</v>
      </c>
      <c r="J45" s="7">
        <v>0</v>
      </c>
      <c r="K45" s="7">
        <v>771</v>
      </c>
      <c r="L45" s="4">
        <f t="shared" ref="L45:L49" si="22">IFERROR(AVERAGE(K39,K45),(VALUE(K39)+VALUE(K45))/2)</f>
        <v>2439</v>
      </c>
      <c r="M45" s="4">
        <v>2</v>
      </c>
      <c r="N45" s="4" t="s">
        <v>60</v>
      </c>
      <c r="O45" s="4">
        <v>0</v>
      </c>
      <c r="P45" s="7">
        <v>0</v>
      </c>
      <c r="Q45" s="7">
        <v>1476</v>
      </c>
      <c r="R45" s="5">
        <f t="shared" ref="R45:R49" si="23">IFERROR(AVERAGE(Q39,Q45),(VALUE(Q39)+VALUE(Q45))/2)</f>
        <v>1361.5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ht="24.75" customHeight="1">
      <c r="A46" s="4">
        <v>2</v>
      </c>
      <c r="B46" s="4" t="s">
        <v>61</v>
      </c>
      <c r="C46" s="4">
        <v>2.5</v>
      </c>
      <c r="D46" s="4">
        <v>4.3</v>
      </c>
      <c r="E46" s="7">
        <v>5768</v>
      </c>
      <c r="F46" s="4">
        <f t="shared" si="21"/>
        <v>3694.5</v>
      </c>
      <c r="G46" s="4">
        <v>2</v>
      </c>
      <c r="H46" s="4" t="s">
        <v>61</v>
      </c>
      <c r="I46" s="4">
        <v>2.5</v>
      </c>
      <c r="J46" s="4">
        <v>3.7</v>
      </c>
      <c r="K46" s="7">
        <v>957</v>
      </c>
      <c r="L46" s="4">
        <f t="shared" si="22"/>
        <v>950.5</v>
      </c>
      <c r="M46" s="4">
        <v>2</v>
      </c>
      <c r="N46" s="4" t="s">
        <v>61</v>
      </c>
      <c r="O46" s="4">
        <v>2.5</v>
      </c>
      <c r="P46" s="7">
        <v>3.73</v>
      </c>
      <c r="Q46" s="7">
        <v>2622</v>
      </c>
      <c r="R46" s="5">
        <f t="shared" si="23"/>
        <v>1311.72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ht="24.75" customHeight="1">
      <c r="A47" s="4">
        <v>2</v>
      </c>
      <c r="B47" s="4" t="s">
        <v>64</v>
      </c>
      <c r="C47" s="4">
        <v>5</v>
      </c>
      <c r="D47" s="4">
        <v>5.5</v>
      </c>
      <c r="E47" s="7">
        <v>2142</v>
      </c>
      <c r="F47" s="4">
        <f t="shared" si="21"/>
        <v>2593</v>
      </c>
      <c r="G47" s="4">
        <v>2</v>
      </c>
      <c r="H47" s="4" t="s">
        <v>64</v>
      </c>
      <c r="I47" s="4">
        <v>5</v>
      </c>
      <c r="J47" s="4">
        <v>5.88</v>
      </c>
      <c r="K47" s="7">
        <v>1144</v>
      </c>
      <c r="L47" s="4">
        <f t="shared" si="22"/>
        <v>915</v>
      </c>
      <c r="M47" s="4">
        <v>2</v>
      </c>
      <c r="N47" s="4" t="s">
        <v>64</v>
      </c>
      <c r="O47" s="4">
        <v>5</v>
      </c>
      <c r="P47" s="4">
        <v>5.7</v>
      </c>
      <c r="Q47" s="7">
        <v>1262</v>
      </c>
      <c r="R47" s="5">
        <f t="shared" si="23"/>
        <v>1340.5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ht="24.75" customHeight="1">
      <c r="A48" s="4">
        <v>2</v>
      </c>
      <c r="B48" s="4" t="s">
        <v>67</v>
      </c>
      <c r="C48" s="4">
        <v>7.5</v>
      </c>
      <c r="D48" s="4">
        <v>7.5</v>
      </c>
      <c r="E48" s="7">
        <v>4041</v>
      </c>
      <c r="F48" s="4">
        <f t="shared" si="21"/>
        <v>5346</v>
      </c>
      <c r="G48" s="4">
        <v>2</v>
      </c>
      <c r="H48" s="4" t="s">
        <v>67</v>
      </c>
      <c r="I48" s="4">
        <v>7.5</v>
      </c>
      <c r="J48" s="4">
        <v>6.3</v>
      </c>
      <c r="K48" s="7">
        <v>1777</v>
      </c>
      <c r="L48" s="4">
        <f t="shared" si="22"/>
        <v>1370</v>
      </c>
      <c r="M48" s="4">
        <v>2</v>
      </c>
      <c r="N48" s="4" t="s">
        <v>67</v>
      </c>
      <c r="O48" s="4">
        <v>7.5</v>
      </c>
      <c r="P48" s="4">
        <v>5.0999999999999996</v>
      </c>
      <c r="Q48" s="4">
        <v>2.2000000000000002</v>
      </c>
      <c r="R48" s="5">
        <f t="shared" si="23"/>
        <v>551.6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ht="24.75" customHeight="1">
      <c r="A49" s="4">
        <v>2</v>
      </c>
      <c r="B49" s="4" t="s">
        <v>69</v>
      </c>
      <c r="C49" s="4">
        <v>10</v>
      </c>
      <c r="D49" s="4">
        <v>10</v>
      </c>
      <c r="E49" s="7">
        <v>2038</v>
      </c>
      <c r="F49" s="4">
        <f t="shared" si="21"/>
        <v>3127</v>
      </c>
      <c r="G49" s="4">
        <v>2</v>
      </c>
      <c r="H49" s="4" t="s">
        <v>69</v>
      </c>
      <c r="I49" s="4">
        <v>10</v>
      </c>
      <c r="J49" s="4">
        <v>7.84</v>
      </c>
      <c r="K49" s="7">
        <v>839</v>
      </c>
      <c r="L49" s="4">
        <f t="shared" si="22"/>
        <v>792.5</v>
      </c>
      <c r="M49" s="4">
        <v>2</v>
      </c>
      <c r="N49" s="4" t="s">
        <v>69</v>
      </c>
      <c r="O49" s="4">
        <v>10</v>
      </c>
      <c r="P49" s="7">
        <v>7.84</v>
      </c>
      <c r="Q49" s="7">
        <v>2155</v>
      </c>
      <c r="R49" s="5">
        <f t="shared" si="23"/>
        <v>1846.5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ht="24.75" customHeight="1">
      <c r="A50" s="1" t="s">
        <v>71</v>
      </c>
      <c r="B50" s="2"/>
      <c r="C50" s="2"/>
      <c r="D50" s="2"/>
      <c r="E50" s="2"/>
      <c r="F50" s="2"/>
      <c r="G50" s="1" t="s">
        <v>71</v>
      </c>
      <c r="H50" s="2"/>
      <c r="I50" s="2"/>
      <c r="J50" s="2"/>
      <c r="K50" s="2"/>
      <c r="L50" s="2"/>
      <c r="M50" s="1" t="s">
        <v>71</v>
      </c>
      <c r="N50" s="2"/>
      <c r="O50" s="2"/>
      <c r="P50" s="2"/>
      <c r="Q50" s="2"/>
      <c r="R50" s="2"/>
      <c r="S50" s="1" t="s">
        <v>71</v>
      </c>
      <c r="T50" s="2"/>
      <c r="U50" s="2"/>
      <c r="V50" s="2"/>
      <c r="W50" s="2"/>
      <c r="X50" s="2"/>
      <c r="Y50" s="1" t="s">
        <v>71</v>
      </c>
      <c r="Z50" s="2"/>
      <c r="AA50" s="2"/>
      <c r="AB50" s="2"/>
      <c r="AC50" s="2"/>
      <c r="AD50" s="2"/>
      <c r="AE50" s="1" t="s">
        <v>71</v>
      </c>
      <c r="AF50" s="2"/>
      <c r="AG50" s="2"/>
      <c r="AH50" s="2"/>
      <c r="AI50" s="2"/>
      <c r="AJ50" s="2"/>
    </row>
    <row r="51" spans="1:36" ht="24.75" customHeight="1">
      <c r="A51" s="4">
        <v>1</v>
      </c>
      <c r="B51" s="4" t="s">
        <v>72</v>
      </c>
      <c r="C51" s="4">
        <v>0</v>
      </c>
      <c r="D51" s="4">
        <v>0</v>
      </c>
      <c r="E51" s="7">
        <v>1798</v>
      </c>
      <c r="F51" s="4">
        <f t="shared" ref="F51:F55" si="24">IFERROR(AVERAGE(D51,D57),(VALUE(D51)+VALUE(D57))/2)</f>
        <v>0</v>
      </c>
      <c r="G51" s="4">
        <v>1</v>
      </c>
      <c r="H51" s="4" t="s">
        <v>72</v>
      </c>
      <c r="I51" s="4">
        <v>0</v>
      </c>
      <c r="J51" s="4">
        <v>0</v>
      </c>
      <c r="K51" s="7">
        <v>1117</v>
      </c>
      <c r="L51" s="4">
        <f t="shared" ref="L51:L55" si="25">IFERROR(AVERAGE(J51,J57),(VALUE(J51)+VALUE(J57))/2)</f>
        <v>0</v>
      </c>
      <c r="M51" s="4">
        <v>1</v>
      </c>
      <c r="N51" s="4" t="s">
        <v>72</v>
      </c>
      <c r="O51" s="4">
        <v>0</v>
      </c>
      <c r="P51" s="4">
        <v>0</v>
      </c>
      <c r="Q51" s="7">
        <v>1281</v>
      </c>
      <c r="R51" s="5">
        <f t="shared" ref="R51:R55" si="26">IFERROR(AVERAGE(P51,P57),(VALUE(P51)+VALUE(P57))/2)</f>
        <v>0</v>
      </c>
      <c r="S51" s="5">
        <v>1</v>
      </c>
      <c r="T51" s="5" t="s">
        <v>72</v>
      </c>
      <c r="U51" s="5" t="s">
        <v>12</v>
      </c>
      <c r="V51" s="5" t="s">
        <v>12</v>
      </c>
      <c r="W51" s="9">
        <v>8343</v>
      </c>
      <c r="X51" s="5"/>
      <c r="Y51" s="5">
        <v>1</v>
      </c>
      <c r="Z51" s="5" t="s">
        <v>72</v>
      </c>
      <c r="AA51" s="5" t="s">
        <v>12</v>
      </c>
      <c r="AB51" s="5" t="s">
        <v>12</v>
      </c>
      <c r="AC51" s="5" t="s">
        <v>73</v>
      </c>
      <c r="AD51" s="5"/>
      <c r="AE51" s="5"/>
      <c r="AF51" s="5"/>
      <c r="AG51" s="5"/>
      <c r="AH51" s="5"/>
      <c r="AI51" s="5"/>
      <c r="AJ51" s="5"/>
    </row>
    <row r="52" spans="1:36" ht="24.75" customHeight="1">
      <c r="A52" s="4">
        <v>1</v>
      </c>
      <c r="B52" s="4" t="s">
        <v>74</v>
      </c>
      <c r="C52" s="4">
        <v>2.5</v>
      </c>
      <c r="D52" s="4">
        <v>1.5</v>
      </c>
      <c r="E52" s="7">
        <v>10082</v>
      </c>
      <c r="F52" s="5">
        <f t="shared" si="24"/>
        <v>1.5</v>
      </c>
      <c r="G52" s="4">
        <v>1</v>
      </c>
      <c r="H52" s="4" t="s">
        <v>74</v>
      </c>
      <c r="I52" s="4">
        <v>2.5</v>
      </c>
      <c r="J52" s="4">
        <v>0.8</v>
      </c>
      <c r="K52" s="7">
        <v>0.91</v>
      </c>
      <c r="L52" s="4">
        <f t="shared" si="25"/>
        <v>0.79</v>
      </c>
      <c r="M52" s="4">
        <v>1</v>
      </c>
      <c r="N52" s="4" t="s">
        <v>74</v>
      </c>
      <c r="O52" s="4">
        <v>2.5</v>
      </c>
      <c r="P52" s="7">
        <v>1.96</v>
      </c>
      <c r="Q52" s="7">
        <v>875</v>
      </c>
      <c r="R52" s="5">
        <f t="shared" si="26"/>
        <v>1.96</v>
      </c>
      <c r="S52" s="5">
        <v>1</v>
      </c>
      <c r="T52" s="5" t="s">
        <v>74</v>
      </c>
      <c r="U52" s="5" t="s">
        <v>16</v>
      </c>
      <c r="V52" s="5" t="s">
        <v>34</v>
      </c>
      <c r="W52" s="9">
        <v>16688</v>
      </c>
      <c r="X52" s="5"/>
      <c r="Y52" s="5">
        <v>1</v>
      </c>
      <c r="Z52" s="5" t="s">
        <v>74</v>
      </c>
      <c r="AA52" s="5" t="s">
        <v>16</v>
      </c>
      <c r="AB52" s="5" t="s">
        <v>75</v>
      </c>
      <c r="AC52" s="9">
        <v>14594</v>
      </c>
      <c r="AD52" s="5"/>
      <c r="AE52" s="5"/>
      <c r="AF52" s="5"/>
      <c r="AG52" s="5"/>
      <c r="AH52" s="5"/>
      <c r="AI52" s="5"/>
      <c r="AJ52" s="5"/>
    </row>
    <row r="53" spans="1:36" ht="24.75" customHeight="1">
      <c r="A53" s="4">
        <v>1</v>
      </c>
      <c r="B53" s="4" t="s">
        <v>76</v>
      </c>
      <c r="C53" s="4">
        <v>5</v>
      </c>
      <c r="D53" s="4">
        <v>4.5</v>
      </c>
      <c r="E53" s="7">
        <v>6297</v>
      </c>
      <c r="F53" s="5">
        <f t="shared" si="24"/>
        <v>4.8499999999999996</v>
      </c>
      <c r="G53" s="4">
        <v>1</v>
      </c>
      <c r="H53" s="4" t="s">
        <v>76</v>
      </c>
      <c r="I53" s="4">
        <v>5</v>
      </c>
      <c r="J53" s="4">
        <v>7.84</v>
      </c>
      <c r="K53" s="7">
        <v>0.84</v>
      </c>
      <c r="L53" s="4">
        <f t="shared" si="25"/>
        <v>5.87</v>
      </c>
      <c r="M53" s="4">
        <v>1</v>
      </c>
      <c r="N53" s="4" t="s">
        <v>76</v>
      </c>
      <c r="O53" s="4">
        <v>5</v>
      </c>
      <c r="P53" s="4">
        <v>5.2</v>
      </c>
      <c r="Q53" s="7">
        <v>1173</v>
      </c>
      <c r="R53" s="5">
        <f t="shared" si="26"/>
        <v>6.8000000000000007</v>
      </c>
      <c r="S53" s="5">
        <v>1</v>
      </c>
      <c r="T53" s="5" t="s">
        <v>76</v>
      </c>
      <c r="U53" s="5" t="s">
        <v>20</v>
      </c>
      <c r="V53" s="5" t="s">
        <v>77</v>
      </c>
      <c r="W53" s="9">
        <v>9507</v>
      </c>
      <c r="X53" s="5"/>
      <c r="Y53" s="5">
        <v>1</v>
      </c>
      <c r="Z53" s="5" t="s">
        <v>76</v>
      </c>
      <c r="AA53" s="5" t="s">
        <v>20</v>
      </c>
      <c r="AB53" s="5" t="s">
        <v>78</v>
      </c>
      <c r="AC53" s="9">
        <v>59268</v>
      </c>
      <c r="AD53" s="5"/>
      <c r="AE53" s="5"/>
      <c r="AF53" s="5"/>
      <c r="AG53" s="5"/>
      <c r="AH53" s="5"/>
      <c r="AI53" s="5"/>
      <c r="AJ53" s="5"/>
    </row>
    <row r="54" spans="1:36" ht="24.75" customHeight="1">
      <c r="A54" s="4">
        <v>1</v>
      </c>
      <c r="B54" s="4" t="s">
        <v>79</v>
      </c>
      <c r="C54" s="4">
        <v>7.5</v>
      </c>
      <c r="D54" s="4">
        <v>8.5</v>
      </c>
      <c r="E54" s="7">
        <v>1528</v>
      </c>
      <c r="F54" s="5">
        <f t="shared" si="24"/>
        <v>8.5</v>
      </c>
      <c r="G54" s="4">
        <v>1</v>
      </c>
      <c r="H54" s="4" t="s">
        <v>79</v>
      </c>
      <c r="I54" s="4">
        <v>7.5</v>
      </c>
      <c r="J54" s="4">
        <v>7.84</v>
      </c>
      <c r="K54" s="7">
        <v>764</v>
      </c>
      <c r="L54" s="4">
        <f t="shared" si="25"/>
        <v>7.84</v>
      </c>
      <c r="M54" s="4">
        <v>1</v>
      </c>
      <c r="N54" s="4" t="s">
        <v>79</v>
      </c>
      <c r="O54" s="4">
        <v>7.5</v>
      </c>
      <c r="P54" s="7">
        <v>10</v>
      </c>
      <c r="Q54" s="7">
        <v>742</v>
      </c>
      <c r="R54" s="5">
        <f t="shared" si="26"/>
        <v>9.120000000000001</v>
      </c>
      <c r="S54" s="5">
        <v>1</v>
      </c>
      <c r="T54" s="5" t="s">
        <v>79</v>
      </c>
      <c r="U54" s="5" t="s">
        <v>24</v>
      </c>
      <c r="V54" s="5" t="s">
        <v>44</v>
      </c>
      <c r="W54" s="9">
        <v>6671</v>
      </c>
      <c r="X54" s="5"/>
      <c r="Y54" s="5">
        <v>1</v>
      </c>
      <c r="Z54" s="5" t="s">
        <v>79</v>
      </c>
      <c r="AA54" s="5" t="s">
        <v>24</v>
      </c>
      <c r="AB54" s="5" t="s">
        <v>80</v>
      </c>
      <c r="AC54" s="9">
        <v>12841</v>
      </c>
      <c r="AD54" s="5"/>
      <c r="AE54" s="5"/>
      <c r="AF54" s="5"/>
      <c r="AG54" s="5"/>
      <c r="AH54" s="5"/>
      <c r="AI54" s="5"/>
      <c r="AJ54" s="5"/>
    </row>
    <row r="55" spans="1:36" ht="24.75" customHeight="1">
      <c r="A55" s="4">
        <v>1</v>
      </c>
      <c r="B55" s="4" t="s">
        <v>81</v>
      </c>
      <c r="C55" s="4">
        <v>10</v>
      </c>
      <c r="D55" s="4">
        <v>9.5</v>
      </c>
      <c r="E55" s="7">
        <v>1444</v>
      </c>
      <c r="F55" s="5">
        <f t="shared" si="24"/>
        <v>9.75</v>
      </c>
      <c r="G55" s="4">
        <v>1</v>
      </c>
      <c r="H55" s="4" t="s">
        <v>81</v>
      </c>
      <c r="I55" s="4">
        <v>10</v>
      </c>
      <c r="J55" s="4">
        <v>7.8</v>
      </c>
      <c r="K55" s="7">
        <v>851</v>
      </c>
      <c r="L55" s="4">
        <f t="shared" si="25"/>
        <v>7.82</v>
      </c>
      <c r="M55" s="4">
        <v>1</v>
      </c>
      <c r="N55" s="4" t="s">
        <v>81</v>
      </c>
      <c r="O55" s="4">
        <v>10</v>
      </c>
      <c r="P55" s="7">
        <v>7.84</v>
      </c>
      <c r="Q55" s="7">
        <v>1578</v>
      </c>
      <c r="R55" s="5">
        <f t="shared" si="26"/>
        <v>8.02</v>
      </c>
      <c r="S55" s="5">
        <v>1</v>
      </c>
      <c r="T55" s="5" t="s">
        <v>81</v>
      </c>
      <c r="U55" s="5" t="s">
        <v>27</v>
      </c>
      <c r="V55" s="5" t="s">
        <v>44</v>
      </c>
      <c r="W55" s="9">
        <v>10733</v>
      </c>
      <c r="X55" s="5"/>
      <c r="Y55" s="5">
        <v>1</v>
      </c>
      <c r="Z55" s="5" t="s">
        <v>81</v>
      </c>
      <c r="AA55" s="5" t="s">
        <v>27</v>
      </c>
      <c r="AB55" s="5" t="s">
        <v>27</v>
      </c>
      <c r="AC55" s="9">
        <v>34119</v>
      </c>
      <c r="AD55" s="5"/>
      <c r="AE55" s="5"/>
      <c r="AF55" s="5"/>
      <c r="AG55" s="5"/>
      <c r="AH55" s="5"/>
      <c r="AI55" s="5"/>
      <c r="AJ55" s="5"/>
    </row>
    <row r="56" spans="1:36" ht="24.75" customHeight="1">
      <c r="A56" s="4"/>
      <c r="B56" s="4"/>
      <c r="C56" s="4"/>
      <c r="D56" s="4"/>
      <c r="E56" s="7"/>
      <c r="F56" s="4" t="s">
        <v>30</v>
      </c>
      <c r="G56" s="4"/>
      <c r="H56" s="4"/>
      <c r="I56" s="4"/>
      <c r="J56" s="7"/>
      <c r="K56" s="7"/>
      <c r="L56" s="4" t="s">
        <v>30</v>
      </c>
      <c r="M56" s="4"/>
      <c r="N56" s="4"/>
      <c r="O56" s="4"/>
      <c r="P56" s="7"/>
      <c r="Q56" s="7"/>
      <c r="R56" s="5" t="s">
        <v>30</v>
      </c>
      <c r="S56" s="5"/>
      <c r="T56" s="5"/>
      <c r="U56" s="5"/>
      <c r="V56" s="5"/>
      <c r="W56" s="5"/>
      <c r="X56" s="5" t="s">
        <v>30</v>
      </c>
      <c r="Y56" s="5"/>
      <c r="Z56" s="5"/>
      <c r="AA56" s="5"/>
      <c r="AB56" s="5"/>
      <c r="AC56" s="5"/>
      <c r="AD56" s="5" t="s">
        <v>30</v>
      </c>
      <c r="AE56" s="5"/>
      <c r="AF56" s="5"/>
      <c r="AG56" s="5"/>
      <c r="AH56" s="5"/>
      <c r="AI56" s="5"/>
      <c r="AJ56" s="5"/>
    </row>
    <row r="57" spans="1:36" ht="24.75" customHeight="1">
      <c r="A57" s="4">
        <v>2</v>
      </c>
      <c r="B57" s="4" t="s">
        <v>72</v>
      </c>
      <c r="C57" s="4">
        <v>0</v>
      </c>
      <c r="D57" s="4">
        <v>0</v>
      </c>
      <c r="E57" s="7">
        <v>10059</v>
      </c>
      <c r="F57" s="4">
        <f t="shared" ref="F57:F61" si="27">IFERROR(AVERAGE(E51,E57),(VALUE(E51)+VALUE(E57))/2)</f>
        <v>5928.5</v>
      </c>
      <c r="G57" s="4">
        <v>2</v>
      </c>
      <c r="H57" s="4" t="s">
        <v>72</v>
      </c>
      <c r="I57" s="4">
        <v>0</v>
      </c>
      <c r="J57" s="7">
        <v>0</v>
      </c>
      <c r="K57" s="7">
        <v>889</v>
      </c>
      <c r="L57" s="4">
        <f t="shared" ref="L57:L61" si="28">IFERROR(AVERAGE(K51,K57),(VALUE(K51)+VALUE(K57))/2)</f>
        <v>1003</v>
      </c>
      <c r="M57" s="4">
        <v>2</v>
      </c>
      <c r="N57" s="4" t="s">
        <v>72</v>
      </c>
      <c r="O57" s="4">
        <v>0</v>
      </c>
      <c r="P57" s="7">
        <v>0</v>
      </c>
      <c r="Q57" s="7">
        <v>1234</v>
      </c>
      <c r="R57" s="5">
        <f t="shared" ref="R57:R61" si="29">IFERROR(AVERAGE(Q51,Q57),(VALUE(Q51)+VALUE(Q57))/2)</f>
        <v>1257.5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ht="24.75" customHeight="1">
      <c r="A58" s="4">
        <v>2</v>
      </c>
      <c r="B58" s="4" t="s">
        <v>74</v>
      </c>
      <c r="C58" s="4">
        <v>2.5</v>
      </c>
      <c r="D58" s="4">
        <v>1.5</v>
      </c>
      <c r="E58" s="7">
        <v>3621</v>
      </c>
      <c r="F58" s="4">
        <f t="shared" si="27"/>
        <v>6851.5</v>
      </c>
      <c r="G58" s="4">
        <v>2</v>
      </c>
      <c r="H58" s="4" t="s">
        <v>74</v>
      </c>
      <c r="I58" s="4">
        <v>2.5</v>
      </c>
      <c r="J58" s="4">
        <v>0.78</v>
      </c>
      <c r="K58" s="7">
        <v>817</v>
      </c>
      <c r="L58" s="5">
        <f t="shared" si="28"/>
        <v>408.95499999999998</v>
      </c>
      <c r="M58" s="4">
        <v>2</v>
      </c>
      <c r="N58" s="4" t="s">
        <v>74</v>
      </c>
      <c r="O58" s="4">
        <v>2.5</v>
      </c>
      <c r="P58" s="7">
        <v>1.96</v>
      </c>
      <c r="Q58" s="7">
        <v>1133</v>
      </c>
      <c r="R58" s="5">
        <f t="shared" si="29"/>
        <v>1004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ht="24.75" customHeight="1">
      <c r="A59" s="4">
        <v>2</v>
      </c>
      <c r="B59" s="4" t="s">
        <v>76</v>
      </c>
      <c r="C59" s="4">
        <v>5</v>
      </c>
      <c r="D59" s="4">
        <v>5.2</v>
      </c>
      <c r="E59" s="7">
        <v>10067</v>
      </c>
      <c r="F59" s="4">
        <f t="shared" si="27"/>
        <v>8182</v>
      </c>
      <c r="G59" s="4">
        <v>2</v>
      </c>
      <c r="H59" s="4" t="s">
        <v>76</v>
      </c>
      <c r="I59" s="4">
        <v>5</v>
      </c>
      <c r="J59" s="4">
        <v>3.9</v>
      </c>
      <c r="K59" s="7">
        <v>764</v>
      </c>
      <c r="L59" s="5">
        <f t="shared" si="28"/>
        <v>382.42</v>
      </c>
      <c r="M59" s="4">
        <v>2</v>
      </c>
      <c r="N59" s="4" t="s">
        <v>76</v>
      </c>
      <c r="O59" s="4">
        <v>5</v>
      </c>
      <c r="P59" s="4">
        <v>8.4</v>
      </c>
      <c r="Q59" s="7">
        <v>1056</v>
      </c>
      <c r="R59" s="5">
        <f t="shared" si="29"/>
        <v>1114.5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ht="24.75" customHeight="1">
      <c r="A60" s="4">
        <v>2</v>
      </c>
      <c r="B60" s="4" t="s">
        <v>79</v>
      </c>
      <c r="C60" s="4">
        <v>7.5</v>
      </c>
      <c r="D60" s="4">
        <v>8.5</v>
      </c>
      <c r="E60" s="7">
        <v>7378</v>
      </c>
      <c r="F60" s="4">
        <f t="shared" si="27"/>
        <v>4453</v>
      </c>
      <c r="G60" s="4">
        <v>2</v>
      </c>
      <c r="H60" s="4" t="s">
        <v>79</v>
      </c>
      <c r="I60" s="4">
        <v>7.5</v>
      </c>
      <c r="J60" s="4">
        <v>7.84</v>
      </c>
      <c r="K60" s="7">
        <v>1026</v>
      </c>
      <c r="L60" s="5">
        <f t="shared" si="28"/>
        <v>895</v>
      </c>
      <c r="M60" s="4">
        <v>2</v>
      </c>
      <c r="N60" s="4" t="s">
        <v>79</v>
      </c>
      <c r="O60" s="4">
        <v>7.5</v>
      </c>
      <c r="P60" s="4">
        <v>8.24</v>
      </c>
      <c r="Q60" s="7">
        <v>604</v>
      </c>
      <c r="R60" s="5">
        <f t="shared" si="29"/>
        <v>673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1:36" ht="24.75" customHeight="1">
      <c r="A61" s="4">
        <v>2</v>
      </c>
      <c r="B61" s="4" t="s">
        <v>81</v>
      </c>
      <c r="C61" s="4">
        <v>10</v>
      </c>
      <c r="D61" s="4">
        <v>10</v>
      </c>
      <c r="E61" s="7">
        <v>4684</v>
      </c>
      <c r="F61" s="4">
        <f t="shared" si="27"/>
        <v>3064</v>
      </c>
      <c r="G61" s="4">
        <v>2</v>
      </c>
      <c r="H61" s="4" t="s">
        <v>81</v>
      </c>
      <c r="I61" s="4">
        <v>10</v>
      </c>
      <c r="J61" s="4">
        <v>7.84</v>
      </c>
      <c r="K61" s="7">
        <v>667</v>
      </c>
      <c r="L61" s="5">
        <f t="shared" si="28"/>
        <v>759</v>
      </c>
      <c r="M61" s="4">
        <v>2</v>
      </c>
      <c r="N61" s="4" t="s">
        <v>81</v>
      </c>
      <c r="O61" s="4">
        <v>10</v>
      </c>
      <c r="P61" s="4">
        <v>8.1999999999999993</v>
      </c>
      <c r="Q61" s="7">
        <v>971</v>
      </c>
      <c r="R61" s="5">
        <f t="shared" si="29"/>
        <v>1274.5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ht="24.75" customHeight="1">
      <c r="A62" s="1" t="s">
        <v>82</v>
      </c>
      <c r="B62" s="2"/>
      <c r="C62" s="2"/>
      <c r="D62" s="2"/>
      <c r="E62" s="2"/>
      <c r="F62" s="2"/>
      <c r="G62" s="1" t="s">
        <v>82</v>
      </c>
      <c r="H62" s="2"/>
      <c r="I62" s="2"/>
      <c r="J62" s="2"/>
      <c r="K62" s="2"/>
      <c r="L62" s="2"/>
      <c r="M62" s="1" t="s">
        <v>82</v>
      </c>
      <c r="N62" s="2"/>
      <c r="O62" s="2"/>
      <c r="P62" s="2"/>
      <c r="Q62" s="2"/>
      <c r="R62" s="2"/>
      <c r="S62" s="1" t="s">
        <v>82</v>
      </c>
      <c r="T62" s="2"/>
      <c r="U62" s="2"/>
      <c r="V62" s="2"/>
      <c r="W62" s="2"/>
      <c r="X62" s="2"/>
      <c r="Y62" s="1" t="s">
        <v>82</v>
      </c>
      <c r="Z62" s="2"/>
      <c r="AA62" s="2"/>
      <c r="AB62" s="2"/>
      <c r="AC62" s="2"/>
      <c r="AD62" s="2"/>
      <c r="AE62" s="1" t="s">
        <v>82</v>
      </c>
      <c r="AF62" s="2"/>
      <c r="AG62" s="2"/>
      <c r="AH62" s="2"/>
      <c r="AI62" s="2"/>
      <c r="AJ62" s="2"/>
    </row>
    <row r="63" spans="1:36" ht="24.75" customHeight="1">
      <c r="A63" s="4">
        <v>1</v>
      </c>
      <c r="B63" s="4" t="s">
        <v>83</v>
      </c>
      <c r="C63" s="4">
        <v>0</v>
      </c>
      <c r="D63" s="4">
        <v>0</v>
      </c>
      <c r="E63" s="7">
        <v>10116</v>
      </c>
      <c r="F63" s="4">
        <f t="shared" ref="F63:F67" si="30">IFERROR(AVERAGE(D63,D69),(VALUE(D63)+VALUE(D69))/2)</f>
        <v>0</v>
      </c>
      <c r="G63" s="4">
        <v>1</v>
      </c>
      <c r="H63" s="4" t="s">
        <v>83</v>
      </c>
      <c r="I63" s="4">
        <v>0</v>
      </c>
      <c r="J63" s="4">
        <v>0</v>
      </c>
      <c r="K63" s="7">
        <v>1.1399999999999999</v>
      </c>
      <c r="L63" s="4">
        <f t="shared" ref="L63:L67" si="31">IFERROR(AVERAGE(J63,J69),(VALUE(J63)+VALUE(J69))/2)</f>
        <v>0</v>
      </c>
      <c r="M63" s="4">
        <v>1</v>
      </c>
      <c r="N63" s="4" t="s">
        <v>83</v>
      </c>
      <c r="O63" s="4">
        <v>0</v>
      </c>
      <c r="P63" s="7">
        <v>0</v>
      </c>
      <c r="Q63" s="7">
        <v>1961</v>
      </c>
      <c r="R63" s="5">
        <f t="shared" ref="R63:R67" si="32">IFERROR(AVERAGE(P63,P69),(VALUE(P63)+VALUE(P69))/2)</f>
        <v>0</v>
      </c>
      <c r="S63" s="5">
        <v>1</v>
      </c>
      <c r="T63" s="5" t="s">
        <v>83</v>
      </c>
      <c r="U63" s="5" t="s">
        <v>12</v>
      </c>
      <c r="V63" s="5" t="s">
        <v>12</v>
      </c>
      <c r="W63" s="9">
        <v>35039</v>
      </c>
      <c r="X63" s="5"/>
      <c r="Y63" s="5">
        <v>1</v>
      </c>
      <c r="Z63" s="5" t="s">
        <v>83</v>
      </c>
      <c r="AA63" s="5" t="s">
        <v>12</v>
      </c>
      <c r="AB63" s="5" t="s">
        <v>12</v>
      </c>
      <c r="AC63" s="9">
        <v>11493</v>
      </c>
      <c r="AD63" s="5"/>
      <c r="AE63" s="5"/>
      <c r="AF63" s="5"/>
      <c r="AG63" s="5"/>
      <c r="AH63" s="5"/>
      <c r="AI63" s="5"/>
      <c r="AJ63" s="5"/>
    </row>
    <row r="64" spans="1:36" ht="24.75" customHeight="1">
      <c r="A64" s="4">
        <v>1</v>
      </c>
      <c r="B64" s="4" t="s">
        <v>84</v>
      </c>
      <c r="C64" s="4">
        <v>2.5</v>
      </c>
      <c r="D64" s="4">
        <v>2</v>
      </c>
      <c r="E64" s="7">
        <v>8525</v>
      </c>
      <c r="F64" s="5">
        <f t="shared" si="30"/>
        <v>2</v>
      </c>
      <c r="G64" s="4">
        <v>1</v>
      </c>
      <c r="H64" s="4" t="s">
        <v>84</v>
      </c>
      <c r="I64" s="4">
        <v>2.5</v>
      </c>
      <c r="J64" s="4">
        <v>4.8</v>
      </c>
      <c r="K64" s="7">
        <v>772</v>
      </c>
      <c r="L64" s="4">
        <f t="shared" si="31"/>
        <v>4.4000000000000004</v>
      </c>
      <c r="M64" s="4">
        <v>1</v>
      </c>
      <c r="N64" s="4" t="s">
        <v>84</v>
      </c>
      <c r="O64" s="4">
        <v>2.5</v>
      </c>
      <c r="P64" s="4">
        <v>6.2</v>
      </c>
      <c r="Q64" s="7">
        <v>1508</v>
      </c>
      <c r="R64" s="5">
        <f t="shared" si="32"/>
        <v>3.5</v>
      </c>
      <c r="S64" s="5">
        <v>1</v>
      </c>
      <c r="T64" s="5" t="s">
        <v>84</v>
      </c>
      <c r="U64" s="5" t="s">
        <v>16</v>
      </c>
      <c r="V64" s="5" t="s">
        <v>85</v>
      </c>
      <c r="W64" s="9">
        <v>9354</v>
      </c>
      <c r="X64" s="5"/>
      <c r="Y64" s="5">
        <v>1</v>
      </c>
      <c r="Z64" s="5" t="s">
        <v>84</v>
      </c>
      <c r="AA64" s="5" t="s">
        <v>16</v>
      </c>
      <c r="AB64" s="5" t="s">
        <v>66</v>
      </c>
      <c r="AC64" s="9">
        <v>6087</v>
      </c>
      <c r="AD64" s="5"/>
      <c r="AE64" s="5"/>
      <c r="AF64" s="5"/>
      <c r="AG64" s="5"/>
      <c r="AH64" s="5"/>
      <c r="AI64" s="5"/>
      <c r="AJ64" s="5"/>
    </row>
    <row r="65" spans="1:36" ht="24.75" customHeight="1">
      <c r="A65" s="4">
        <v>1</v>
      </c>
      <c r="B65" s="4" t="s">
        <v>86</v>
      </c>
      <c r="C65" s="4">
        <v>5</v>
      </c>
      <c r="D65" s="4">
        <v>6.5</v>
      </c>
      <c r="E65" s="7">
        <v>1808</v>
      </c>
      <c r="F65" s="5">
        <f t="shared" si="30"/>
        <v>6.6</v>
      </c>
      <c r="G65" s="4">
        <v>1</v>
      </c>
      <c r="H65" s="4" t="s">
        <v>86</v>
      </c>
      <c r="I65" s="4">
        <v>5</v>
      </c>
      <c r="J65" s="4">
        <v>8</v>
      </c>
      <c r="K65" s="7">
        <v>847</v>
      </c>
      <c r="L65" s="4">
        <f t="shared" si="31"/>
        <v>8</v>
      </c>
      <c r="M65" s="4">
        <v>1</v>
      </c>
      <c r="N65" s="4" t="s">
        <v>86</v>
      </c>
      <c r="O65" s="4">
        <v>5</v>
      </c>
      <c r="P65" s="4">
        <v>4.8</v>
      </c>
      <c r="Q65" s="4">
        <v>1.77</v>
      </c>
      <c r="R65" s="5">
        <f t="shared" si="32"/>
        <v>4.8</v>
      </c>
      <c r="S65" s="5">
        <v>1</v>
      </c>
      <c r="T65" s="5" t="s">
        <v>86</v>
      </c>
      <c r="U65" s="5" t="s">
        <v>20</v>
      </c>
      <c r="V65" s="5" t="s">
        <v>55</v>
      </c>
      <c r="W65" s="9">
        <v>13352</v>
      </c>
      <c r="X65" s="5"/>
      <c r="Y65" s="5">
        <v>1</v>
      </c>
      <c r="Z65" s="5" t="s">
        <v>86</v>
      </c>
      <c r="AA65" s="5" t="s">
        <v>20</v>
      </c>
      <c r="AB65" s="5" t="s">
        <v>87</v>
      </c>
      <c r="AC65" s="5" t="s">
        <v>88</v>
      </c>
      <c r="AD65" s="5"/>
      <c r="AE65" s="5"/>
      <c r="AF65" s="5"/>
      <c r="AG65" s="5"/>
      <c r="AH65" s="5"/>
      <c r="AI65" s="5"/>
      <c r="AJ65" s="5"/>
    </row>
    <row r="66" spans="1:36" ht="24.75" customHeight="1">
      <c r="A66" s="4">
        <v>1</v>
      </c>
      <c r="B66" s="4" t="s">
        <v>89</v>
      </c>
      <c r="C66" s="4">
        <v>7.5</v>
      </c>
      <c r="D66" s="4">
        <v>7.5</v>
      </c>
      <c r="E66" s="7">
        <v>1356</v>
      </c>
      <c r="F66" s="5">
        <f t="shared" si="30"/>
        <v>8.125</v>
      </c>
      <c r="G66" s="4">
        <v>1</v>
      </c>
      <c r="H66" s="4" t="s">
        <v>89</v>
      </c>
      <c r="I66" s="4">
        <v>7.5</v>
      </c>
      <c r="J66" s="4">
        <v>8</v>
      </c>
      <c r="K66" s="7">
        <v>928</v>
      </c>
      <c r="L66" s="4">
        <f t="shared" si="31"/>
        <v>8</v>
      </c>
      <c r="M66" s="4">
        <v>1</v>
      </c>
      <c r="N66" s="4" t="s">
        <v>89</v>
      </c>
      <c r="O66" s="4">
        <v>7.5</v>
      </c>
      <c r="P66" s="7">
        <v>8</v>
      </c>
      <c r="Q66" s="7">
        <v>1648</v>
      </c>
      <c r="R66" s="5">
        <f t="shared" si="32"/>
        <v>8.3000000000000007</v>
      </c>
      <c r="S66" s="5">
        <v>1</v>
      </c>
      <c r="T66" s="5" t="s">
        <v>89</v>
      </c>
      <c r="U66" s="5" t="s">
        <v>24</v>
      </c>
      <c r="V66" s="5" t="s">
        <v>55</v>
      </c>
      <c r="W66" s="9">
        <v>23633</v>
      </c>
      <c r="X66" s="5"/>
      <c r="Y66" s="5">
        <v>1</v>
      </c>
      <c r="Z66" s="5" t="s">
        <v>89</v>
      </c>
      <c r="AA66" s="5" t="s">
        <v>24</v>
      </c>
      <c r="AB66" s="5" t="s">
        <v>90</v>
      </c>
      <c r="AC66" s="5" t="s">
        <v>91</v>
      </c>
      <c r="AD66" s="5"/>
      <c r="AE66" s="5"/>
      <c r="AF66" s="5"/>
      <c r="AG66" s="5"/>
      <c r="AH66" s="5"/>
      <c r="AI66" s="5"/>
      <c r="AJ66" s="5"/>
    </row>
    <row r="67" spans="1:36" ht="24.75" customHeight="1">
      <c r="A67" s="4">
        <v>1</v>
      </c>
      <c r="B67" s="4" t="s">
        <v>92</v>
      </c>
      <c r="C67" s="4">
        <v>10</v>
      </c>
      <c r="D67" s="4">
        <v>10</v>
      </c>
      <c r="E67" s="7">
        <v>10079</v>
      </c>
      <c r="F67" s="5">
        <f t="shared" si="30"/>
        <v>10</v>
      </c>
      <c r="G67" s="4">
        <v>1</v>
      </c>
      <c r="H67" s="4" t="s">
        <v>92</v>
      </c>
      <c r="I67" s="4">
        <v>10</v>
      </c>
      <c r="J67" s="4">
        <v>8</v>
      </c>
      <c r="K67" s="7">
        <v>741</v>
      </c>
      <c r="L67" s="4">
        <f t="shared" si="31"/>
        <v>8</v>
      </c>
      <c r="M67" s="4">
        <v>1</v>
      </c>
      <c r="N67" s="4" t="s">
        <v>92</v>
      </c>
      <c r="O67" s="4">
        <v>10</v>
      </c>
      <c r="P67" s="7">
        <v>8</v>
      </c>
      <c r="Q67" s="7">
        <v>1746</v>
      </c>
      <c r="R67" s="5">
        <f t="shared" si="32"/>
        <v>8</v>
      </c>
      <c r="S67" s="5">
        <v>1</v>
      </c>
      <c r="T67" s="5" t="s">
        <v>92</v>
      </c>
      <c r="U67" s="5" t="s">
        <v>27</v>
      </c>
      <c r="V67" s="5" t="s">
        <v>55</v>
      </c>
      <c r="W67" s="9">
        <v>11617</v>
      </c>
      <c r="X67" s="5"/>
      <c r="Y67" s="5">
        <v>1</v>
      </c>
      <c r="Z67" s="5" t="s">
        <v>92</v>
      </c>
      <c r="AA67" s="5" t="s">
        <v>27</v>
      </c>
      <c r="AB67" s="5" t="s">
        <v>27</v>
      </c>
      <c r="AC67" s="9">
        <v>5002</v>
      </c>
      <c r="AD67" s="5"/>
      <c r="AE67" s="5"/>
      <c r="AF67" s="5"/>
      <c r="AG67" s="5"/>
      <c r="AH67" s="5"/>
      <c r="AI67" s="5"/>
      <c r="AJ67" s="5"/>
    </row>
    <row r="68" spans="1:36" ht="24.75" customHeight="1">
      <c r="A68" s="4"/>
      <c r="B68" s="4"/>
      <c r="C68" s="4"/>
      <c r="D68" s="4"/>
      <c r="E68" s="7"/>
      <c r="F68" s="4" t="s">
        <v>30</v>
      </c>
      <c r="G68" s="4"/>
      <c r="H68" s="4"/>
      <c r="I68" s="4"/>
      <c r="J68" s="7"/>
      <c r="K68" s="7"/>
      <c r="L68" s="4" t="s">
        <v>30</v>
      </c>
      <c r="M68" s="4"/>
      <c r="N68" s="4"/>
      <c r="O68" s="4"/>
      <c r="P68" s="7"/>
      <c r="Q68" s="7"/>
      <c r="R68" s="5" t="s">
        <v>30</v>
      </c>
      <c r="S68" s="5"/>
      <c r="T68" s="5"/>
      <c r="U68" s="5"/>
      <c r="V68" s="5"/>
      <c r="W68" s="5"/>
      <c r="X68" s="5" t="s">
        <v>30</v>
      </c>
      <c r="Y68" s="5"/>
      <c r="Z68" s="5"/>
      <c r="AA68" s="5"/>
      <c r="AB68" s="5"/>
      <c r="AC68" s="5"/>
      <c r="AD68" s="5" t="s">
        <v>30</v>
      </c>
      <c r="AE68" s="5"/>
      <c r="AF68" s="5"/>
      <c r="AG68" s="5"/>
      <c r="AH68" s="5"/>
      <c r="AI68" s="5"/>
      <c r="AJ68" s="5"/>
    </row>
    <row r="69" spans="1:36" ht="24.75" customHeight="1">
      <c r="A69" s="4">
        <v>2</v>
      </c>
      <c r="B69" s="4" t="s">
        <v>83</v>
      </c>
      <c r="C69" s="4">
        <v>0</v>
      </c>
      <c r="D69" s="4">
        <v>0</v>
      </c>
      <c r="E69" s="7">
        <v>1807</v>
      </c>
      <c r="F69" s="4">
        <f t="shared" ref="F69:F73" si="33">IFERROR(AVERAGE(E63,E69),(VALUE(E63)+VALUE(E69))/2)</f>
        <v>5961.5</v>
      </c>
      <c r="G69" s="4">
        <v>2</v>
      </c>
      <c r="H69" s="4" t="s">
        <v>83</v>
      </c>
      <c r="I69" s="4">
        <v>0</v>
      </c>
      <c r="J69" s="7">
        <v>0</v>
      </c>
      <c r="K69" s="7">
        <v>969</v>
      </c>
      <c r="L69" s="4">
        <f t="shared" ref="L69:L73" si="34">IFERROR(AVERAGE(K63,K69),(VALUE(K63)+VALUE(K69))/2)</f>
        <v>485.07</v>
      </c>
      <c r="M69" s="4">
        <v>2</v>
      </c>
      <c r="N69" s="4" t="s">
        <v>83</v>
      </c>
      <c r="O69" s="4">
        <v>0</v>
      </c>
      <c r="P69" s="7">
        <v>0</v>
      </c>
      <c r="Q69" s="7">
        <v>1381</v>
      </c>
      <c r="R69" s="5">
        <f t="shared" ref="R69:R73" si="35">IFERROR(AVERAGE(Q63,Q69),(VALUE(Q63)+VALUE(Q69))/2)</f>
        <v>1671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36" ht="24.75" customHeight="1">
      <c r="A70" s="4">
        <v>2</v>
      </c>
      <c r="B70" s="4" t="s">
        <v>84</v>
      </c>
      <c r="C70" s="4">
        <v>2.5</v>
      </c>
      <c r="D70" s="4">
        <v>2</v>
      </c>
      <c r="E70" s="7">
        <v>2703</v>
      </c>
      <c r="F70" s="4">
        <f t="shared" si="33"/>
        <v>5614</v>
      </c>
      <c r="G70" s="4">
        <v>2</v>
      </c>
      <c r="H70" s="4" t="s">
        <v>84</v>
      </c>
      <c r="I70" s="4">
        <v>2.5</v>
      </c>
      <c r="J70" s="4">
        <v>4</v>
      </c>
      <c r="K70" s="7">
        <v>4103</v>
      </c>
      <c r="L70" s="4">
        <f t="shared" si="34"/>
        <v>2437.5</v>
      </c>
      <c r="M70" s="4">
        <v>2</v>
      </c>
      <c r="N70" s="4" t="s">
        <v>84</v>
      </c>
      <c r="O70" s="4">
        <v>2.5</v>
      </c>
      <c r="P70" s="4">
        <v>0.8</v>
      </c>
      <c r="Q70" s="7">
        <v>906</v>
      </c>
      <c r="R70" s="5">
        <f t="shared" si="35"/>
        <v>1207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ht="24.75" customHeight="1">
      <c r="A71" s="4">
        <v>2</v>
      </c>
      <c r="B71" s="4" t="s">
        <v>86</v>
      </c>
      <c r="C71" s="4">
        <v>5</v>
      </c>
      <c r="D71" s="4">
        <v>6.7</v>
      </c>
      <c r="E71" s="7">
        <v>10094</v>
      </c>
      <c r="F71" s="4">
        <f t="shared" si="33"/>
        <v>5951</v>
      </c>
      <c r="G71" s="4">
        <v>2</v>
      </c>
      <c r="H71" s="4" t="s">
        <v>86</v>
      </c>
      <c r="I71" s="4">
        <v>5</v>
      </c>
      <c r="J71" s="4">
        <v>8</v>
      </c>
      <c r="K71" s="7">
        <v>1136</v>
      </c>
      <c r="L71" s="4">
        <f t="shared" si="34"/>
        <v>991.5</v>
      </c>
      <c r="M71" s="4">
        <v>2</v>
      </c>
      <c r="N71" s="4" t="s">
        <v>86</v>
      </c>
      <c r="O71" s="4">
        <v>5</v>
      </c>
      <c r="P71" s="4">
        <v>4.8</v>
      </c>
      <c r="Q71" s="7">
        <v>1756</v>
      </c>
      <c r="R71" s="5">
        <f t="shared" si="35"/>
        <v>878.88499999999999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ht="24.75" customHeight="1">
      <c r="A72" s="4">
        <v>2</v>
      </c>
      <c r="B72" s="4" t="s">
        <v>89</v>
      </c>
      <c r="C72" s="4">
        <v>7.5</v>
      </c>
      <c r="D72" s="4">
        <v>8.75</v>
      </c>
      <c r="E72" s="7">
        <v>1807</v>
      </c>
      <c r="F72" s="4">
        <f t="shared" si="33"/>
        <v>1581.5</v>
      </c>
      <c r="G72" s="4">
        <v>2</v>
      </c>
      <c r="H72" s="4" t="s">
        <v>89</v>
      </c>
      <c r="I72" s="4">
        <v>7.5</v>
      </c>
      <c r="J72" s="4">
        <v>8</v>
      </c>
      <c r="K72" s="7">
        <v>3613</v>
      </c>
      <c r="L72" s="4">
        <f t="shared" si="34"/>
        <v>2270.5</v>
      </c>
      <c r="M72" s="4">
        <v>2</v>
      </c>
      <c r="N72" s="4" t="s">
        <v>89</v>
      </c>
      <c r="O72" s="4">
        <v>7.5</v>
      </c>
      <c r="P72" s="4">
        <v>8.6</v>
      </c>
      <c r="Q72" s="7">
        <v>1145</v>
      </c>
      <c r="R72" s="5">
        <f t="shared" si="35"/>
        <v>1396.5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ht="24.75" customHeight="1">
      <c r="A73" s="4">
        <v>2</v>
      </c>
      <c r="B73" s="4" t="s">
        <v>92</v>
      </c>
      <c r="C73" s="4">
        <v>10</v>
      </c>
      <c r="D73" s="4">
        <v>10</v>
      </c>
      <c r="E73" s="4">
        <v>10.7</v>
      </c>
      <c r="F73" s="4">
        <f t="shared" si="33"/>
        <v>5044.8500000000004</v>
      </c>
      <c r="G73" s="4">
        <v>2</v>
      </c>
      <c r="H73" s="4" t="s">
        <v>92</v>
      </c>
      <c r="I73" s="4">
        <v>10</v>
      </c>
      <c r="J73" s="4">
        <v>8</v>
      </c>
      <c r="K73" s="7">
        <v>1179</v>
      </c>
      <c r="L73" s="4">
        <f t="shared" si="34"/>
        <v>960</v>
      </c>
      <c r="M73" s="4">
        <v>2</v>
      </c>
      <c r="N73" s="4" t="s">
        <v>92</v>
      </c>
      <c r="O73" s="4">
        <v>10</v>
      </c>
      <c r="P73" s="7">
        <v>8</v>
      </c>
      <c r="Q73" s="7">
        <v>1538</v>
      </c>
      <c r="R73" s="5">
        <f t="shared" si="35"/>
        <v>1642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ht="24.75" customHeight="1">
      <c r="A74" s="1" t="s">
        <v>93</v>
      </c>
      <c r="B74" s="2"/>
      <c r="C74" s="2"/>
      <c r="D74" s="2"/>
      <c r="E74" s="2"/>
      <c r="F74" s="2"/>
      <c r="G74" s="1" t="s">
        <v>93</v>
      </c>
      <c r="H74" s="2"/>
      <c r="I74" s="2"/>
      <c r="J74" s="2"/>
      <c r="K74" s="2"/>
      <c r="L74" s="2"/>
      <c r="M74" s="1" t="s">
        <v>93</v>
      </c>
      <c r="N74" s="2"/>
      <c r="O74" s="2"/>
      <c r="P74" s="2"/>
      <c r="Q74" s="2"/>
      <c r="R74" s="2"/>
      <c r="S74" s="1" t="s">
        <v>93</v>
      </c>
      <c r="T74" s="2"/>
      <c r="U74" s="2"/>
      <c r="V74" s="2"/>
      <c r="W74" s="2"/>
      <c r="X74" s="2"/>
      <c r="Y74" s="1" t="s">
        <v>93</v>
      </c>
      <c r="Z74" s="2"/>
      <c r="AA74" s="2"/>
      <c r="AB74" s="2"/>
      <c r="AC74" s="2"/>
      <c r="AD74" s="2"/>
      <c r="AE74" s="1" t="s">
        <v>93</v>
      </c>
      <c r="AF74" s="2"/>
      <c r="AG74" s="2"/>
      <c r="AH74" s="2"/>
      <c r="AI74" s="2"/>
      <c r="AJ74" s="2"/>
    </row>
    <row r="75" spans="1:36" ht="24.75" customHeight="1">
      <c r="A75" s="4">
        <v>1</v>
      </c>
      <c r="B75" s="4" t="s">
        <v>94</v>
      </c>
      <c r="C75" s="4">
        <v>0</v>
      </c>
      <c r="D75" s="4">
        <v>0</v>
      </c>
      <c r="E75" s="7">
        <v>2068</v>
      </c>
      <c r="F75" s="4">
        <f t="shared" ref="F75:F79" si="36">IFERROR(AVERAGE(D75,D81),(VALUE(D75)+VALUE(D81))/2)</f>
        <v>0</v>
      </c>
      <c r="G75" s="4">
        <v>1</v>
      </c>
      <c r="H75" s="4" t="s">
        <v>94</v>
      </c>
      <c r="I75" s="4">
        <v>0</v>
      </c>
      <c r="J75" s="4">
        <v>0.4</v>
      </c>
      <c r="K75" s="7">
        <v>989</v>
      </c>
      <c r="L75" s="4">
        <f t="shared" ref="L75:L79" si="37">IFERROR(AVERAGE(J75,J81),(VALUE(J75)+VALUE(J81))/2)</f>
        <v>0.2</v>
      </c>
      <c r="M75" s="4">
        <v>1</v>
      </c>
      <c r="N75" s="4" t="s">
        <v>94</v>
      </c>
      <c r="O75" s="4">
        <v>0</v>
      </c>
      <c r="P75" s="7">
        <v>0</v>
      </c>
      <c r="Q75" s="7">
        <v>966</v>
      </c>
      <c r="R75" s="5">
        <f t="shared" ref="R75:R79" si="38">IFERROR(AVERAGE(P75,P81),(VALUE(P75)+VALUE(P81))/2)</f>
        <v>0</v>
      </c>
      <c r="S75" s="5">
        <v>1</v>
      </c>
      <c r="T75" s="5" t="s">
        <v>94</v>
      </c>
      <c r="U75" s="5" t="s">
        <v>12</v>
      </c>
      <c r="V75" s="5" t="s">
        <v>12</v>
      </c>
      <c r="W75" s="9">
        <v>80862</v>
      </c>
      <c r="X75" s="5"/>
      <c r="Y75" s="5">
        <v>1</v>
      </c>
      <c r="Z75" s="5" t="s">
        <v>94</v>
      </c>
      <c r="AA75" s="5" t="s">
        <v>12</v>
      </c>
      <c r="AB75" s="5" t="s">
        <v>12</v>
      </c>
      <c r="AC75" s="9">
        <v>15657</v>
      </c>
      <c r="AD75" s="5"/>
      <c r="AE75" s="5"/>
      <c r="AF75" s="5"/>
      <c r="AG75" s="5"/>
      <c r="AH75" s="5"/>
      <c r="AI75" s="5"/>
      <c r="AJ75" s="5"/>
    </row>
    <row r="76" spans="1:36" ht="24.75" customHeight="1">
      <c r="A76" s="4">
        <v>1</v>
      </c>
      <c r="B76" s="4" t="s">
        <v>95</v>
      </c>
      <c r="C76" s="4">
        <v>2.5</v>
      </c>
      <c r="D76" s="4">
        <v>1.2</v>
      </c>
      <c r="E76" s="7">
        <v>10066</v>
      </c>
      <c r="F76" s="5">
        <f t="shared" si="36"/>
        <v>1.2</v>
      </c>
      <c r="G76" s="4">
        <v>1</v>
      </c>
      <c r="H76" s="4" t="s">
        <v>95</v>
      </c>
      <c r="I76" s="4">
        <v>2.5</v>
      </c>
      <c r="J76" s="4">
        <v>0</v>
      </c>
      <c r="K76" s="7">
        <v>848</v>
      </c>
      <c r="L76" s="4">
        <f t="shared" si="37"/>
        <v>0</v>
      </c>
      <c r="M76" s="4">
        <v>1</v>
      </c>
      <c r="N76" s="4" t="s">
        <v>95</v>
      </c>
      <c r="O76" s="4">
        <v>2.5</v>
      </c>
      <c r="P76" s="7">
        <v>0.6</v>
      </c>
      <c r="Q76" s="7">
        <v>973</v>
      </c>
      <c r="R76" s="5">
        <f t="shared" si="38"/>
        <v>0.6</v>
      </c>
      <c r="S76" s="5">
        <v>1</v>
      </c>
      <c r="T76" s="5" t="s">
        <v>95</v>
      </c>
      <c r="U76" s="5" t="s">
        <v>16</v>
      </c>
      <c r="V76" s="5" t="s">
        <v>96</v>
      </c>
      <c r="W76" s="9">
        <v>15482</v>
      </c>
      <c r="X76" s="5"/>
      <c r="Y76" s="5">
        <v>1</v>
      </c>
      <c r="Z76" s="5" t="s">
        <v>95</v>
      </c>
      <c r="AA76" s="5" t="s">
        <v>16</v>
      </c>
      <c r="AB76" s="5" t="s">
        <v>50</v>
      </c>
      <c r="AC76" s="9">
        <v>33176</v>
      </c>
      <c r="AD76" s="5"/>
      <c r="AE76" s="5"/>
      <c r="AF76" s="5"/>
      <c r="AG76" s="5"/>
      <c r="AH76" s="5"/>
      <c r="AI76" s="5"/>
      <c r="AJ76" s="5"/>
    </row>
    <row r="77" spans="1:36" ht="24.75" customHeight="1">
      <c r="A77" s="4">
        <v>1</v>
      </c>
      <c r="B77" s="4" t="s">
        <v>97</v>
      </c>
      <c r="C77" s="4">
        <v>5</v>
      </c>
      <c r="D77" s="4">
        <v>3</v>
      </c>
      <c r="E77" s="4">
        <v>7.7</v>
      </c>
      <c r="F77" s="5">
        <f t="shared" si="36"/>
        <v>3</v>
      </c>
      <c r="G77" s="4">
        <v>1</v>
      </c>
      <c r="H77" s="4" t="s">
        <v>97</v>
      </c>
      <c r="I77" s="4">
        <v>5</v>
      </c>
      <c r="J77" s="4">
        <v>0.4</v>
      </c>
      <c r="K77" s="7">
        <v>947</v>
      </c>
      <c r="L77" s="4">
        <f t="shared" si="37"/>
        <v>0.8</v>
      </c>
      <c r="M77" s="4">
        <v>1</v>
      </c>
      <c r="N77" s="4" t="s">
        <v>97</v>
      </c>
      <c r="O77" s="4">
        <v>5</v>
      </c>
      <c r="P77" s="4">
        <v>2.6</v>
      </c>
      <c r="Q77" s="7">
        <v>798</v>
      </c>
      <c r="R77" s="5">
        <f t="shared" si="38"/>
        <v>2.6</v>
      </c>
      <c r="S77" s="5">
        <v>1</v>
      </c>
      <c r="T77" s="5" t="s">
        <v>97</v>
      </c>
      <c r="U77" s="5" t="s">
        <v>20</v>
      </c>
      <c r="V77" s="5" t="s">
        <v>98</v>
      </c>
      <c r="W77" s="9">
        <v>14409</v>
      </c>
      <c r="X77" s="5"/>
      <c r="Y77" s="5">
        <v>1</v>
      </c>
      <c r="Z77" s="5" t="s">
        <v>97</v>
      </c>
      <c r="AA77" s="5" t="s">
        <v>20</v>
      </c>
      <c r="AB77" s="5" t="s">
        <v>99</v>
      </c>
      <c r="AC77" s="9">
        <v>10805</v>
      </c>
      <c r="AD77" s="5"/>
      <c r="AE77" s="5"/>
      <c r="AF77" s="5"/>
      <c r="AG77" s="5"/>
      <c r="AH77" s="5"/>
      <c r="AI77" s="5"/>
      <c r="AJ77" s="5"/>
    </row>
    <row r="78" spans="1:36" ht="24.75" customHeight="1">
      <c r="A78" s="4">
        <v>1</v>
      </c>
      <c r="B78" s="4" t="s">
        <v>100</v>
      </c>
      <c r="C78" s="4">
        <v>7.5</v>
      </c>
      <c r="D78" s="4">
        <v>8.5</v>
      </c>
      <c r="E78" s="7">
        <v>1876</v>
      </c>
      <c r="F78" s="5">
        <f t="shared" si="36"/>
        <v>8.25</v>
      </c>
      <c r="G78" s="4">
        <v>1</v>
      </c>
      <c r="H78" s="4" t="s">
        <v>100</v>
      </c>
      <c r="I78" s="4">
        <v>7.5</v>
      </c>
      <c r="J78" s="4">
        <v>6.4</v>
      </c>
      <c r="K78" s="7">
        <v>755</v>
      </c>
      <c r="L78" s="4">
        <f t="shared" si="37"/>
        <v>6.4</v>
      </c>
      <c r="M78" s="4">
        <v>1</v>
      </c>
      <c r="N78" s="4" t="s">
        <v>100</v>
      </c>
      <c r="O78" s="4">
        <v>7.5</v>
      </c>
      <c r="P78" s="7">
        <v>8</v>
      </c>
      <c r="Q78" s="7">
        <v>1439</v>
      </c>
      <c r="R78" s="5">
        <f t="shared" si="38"/>
        <v>8</v>
      </c>
      <c r="S78" s="5">
        <v>1</v>
      </c>
      <c r="T78" s="5" t="s">
        <v>100</v>
      </c>
      <c r="U78" s="5" t="s">
        <v>24</v>
      </c>
      <c r="V78" s="5" t="s">
        <v>55</v>
      </c>
      <c r="W78" s="5" t="s">
        <v>101</v>
      </c>
      <c r="X78" s="5"/>
      <c r="Y78" s="5">
        <v>1</v>
      </c>
      <c r="Z78" s="5" t="s">
        <v>100</v>
      </c>
      <c r="AA78" s="5" t="s">
        <v>24</v>
      </c>
      <c r="AB78" s="5" t="s">
        <v>102</v>
      </c>
      <c r="AC78" s="5" t="s">
        <v>103</v>
      </c>
      <c r="AD78" s="5"/>
      <c r="AE78" s="5"/>
      <c r="AF78" s="5"/>
      <c r="AG78" s="5"/>
      <c r="AH78" s="5"/>
      <c r="AI78" s="5"/>
      <c r="AJ78" s="5"/>
    </row>
    <row r="79" spans="1:36" ht="24.75" customHeight="1">
      <c r="A79" s="4">
        <v>1</v>
      </c>
      <c r="B79" s="4" t="s">
        <v>104</v>
      </c>
      <c r="C79" s="4">
        <v>10</v>
      </c>
      <c r="D79" s="4">
        <v>10</v>
      </c>
      <c r="E79" s="7">
        <v>7.84</v>
      </c>
      <c r="F79" s="5">
        <f t="shared" si="36"/>
        <v>10</v>
      </c>
      <c r="G79" s="4">
        <v>1</v>
      </c>
      <c r="H79" s="4" t="s">
        <v>104</v>
      </c>
      <c r="I79" s="4">
        <v>10</v>
      </c>
      <c r="J79" s="4">
        <v>8</v>
      </c>
      <c r="K79" s="7">
        <v>846</v>
      </c>
      <c r="L79" s="4">
        <f t="shared" si="37"/>
        <v>8</v>
      </c>
      <c r="M79" s="4">
        <v>1</v>
      </c>
      <c r="N79" s="4" t="s">
        <v>104</v>
      </c>
      <c r="O79" s="4">
        <v>10</v>
      </c>
      <c r="P79" s="7">
        <v>8</v>
      </c>
      <c r="Q79" s="7">
        <v>1011</v>
      </c>
      <c r="R79" s="5">
        <f t="shared" si="38"/>
        <v>8</v>
      </c>
      <c r="S79" s="5">
        <v>1</v>
      </c>
      <c r="T79" s="5" t="s">
        <v>104</v>
      </c>
      <c r="U79" s="5" t="s">
        <v>27</v>
      </c>
      <c r="V79" s="5" t="s">
        <v>55</v>
      </c>
      <c r="W79" s="9">
        <v>9145</v>
      </c>
      <c r="X79" s="5"/>
      <c r="Y79" s="5">
        <v>1</v>
      </c>
      <c r="Z79" s="5" t="s">
        <v>104</v>
      </c>
      <c r="AA79" s="5" t="s">
        <v>27</v>
      </c>
      <c r="AB79" s="5" t="s">
        <v>27</v>
      </c>
      <c r="AC79" s="9">
        <v>26947</v>
      </c>
      <c r="AD79" s="5"/>
      <c r="AE79" s="5"/>
      <c r="AF79" s="5"/>
      <c r="AG79" s="5"/>
      <c r="AH79" s="5"/>
      <c r="AI79" s="5"/>
      <c r="AJ79" s="5"/>
    </row>
    <row r="80" spans="1:36" ht="24.75" customHeight="1">
      <c r="A80" s="4"/>
      <c r="B80" s="4"/>
      <c r="C80" s="4"/>
      <c r="D80" s="4"/>
      <c r="E80" s="7"/>
      <c r="F80" s="4" t="s">
        <v>30</v>
      </c>
      <c r="G80" s="4"/>
      <c r="H80" s="4"/>
      <c r="I80" s="4"/>
      <c r="J80" s="7"/>
      <c r="K80" s="7"/>
      <c r="L80" s="4" t="s">
        <v>30</v>
      </c>
      <c r="M80" s="4"/>
      <c r="N80" s="4"/>
      <c r="O80" s="4"/>
      <c r="P80" s="7"/>
      <c r="Q80" s="7"/>
      <c r="R80" s="5" t="s">
        <v>30</v>
      </c>
      <c r="S80" s="5"/>
      <c r="T80" s="5"/>
      <c r="U80" s="5"/>
      <c r="V80" s="5"/>
      <c r="W80" s="5"/>
      <c r="X80" s="5" t="s">
        <v>30</v>
      </c>
      <c r="Y80" s="5"/>
      <c r="Z80" s="5"/>
      <c r="AA80" s="5"/>
      <c r="AB80" s="5"/>
      <c r="AC80" s="5"/>
      <c r="AD80" s="5" t="s">
        <v>30</v>
      </c>
      <c r="AE80" s="5"/>
      <c r="AF80" s="5"/>
      <c r="AG80" s="5"/>
      <c r="AH80" s="5"/>
      <c r="AI80" s="5"/>
      <c r="AJ80" s="5"/>
    </row>
    <row r="81" spans="1:36" ht="24.75" customHeight="1">
      <c r="A81" s="4">
        <v>2</v>
      </c>
      <c r="B81" s="4" t="s">
        <v>94</v>
      </c>
      <c r="C81" s="4">
        <v>0</v>
      </c>
      <c r="D81" s="4">
        <v>0</v>
      </c>
      <c r="E81" s="7">
        <v>1461</v>
      </c>
      <c r="F81" s="4">
        <f t="shared" ref="F81:F85" si="39">IFERROR(AVERAGE(E75,E81),(VALUE(E75)+VALUE(E81))/2)</f>
        <v>1764.5</v>
      </c>
      <c r="G81" s="4">
        <v>2</v>
      </c>
      <c r="H81" s="4" t="s">
        <v>94</v>
      </c>
      <c r="I81" s="4">
        <v>0</v>
      </c>
      <c r="J81" s="7">
        <v>0</v>
      </c>
      <c r="K81" s="7">
        <v>745</v>
      </c>
      <c r="L81" s="4">
        <f t="shared" ref="L81:L85" si="40">IFERROR(AVERAGE(K75,K81),(VALUE(K75)+VALUE(K81))/2)</f>
        <v>867</v>
      </c>
      <c r="M81" s="4">
        <v>2</v>
      </c>
      <c r="N81" s="4" t="s">
        <v>94</v>
      </c>
      <c r="O81" s="4">
        <v>0</v>
      </c>
      <c r="P81" s="7">
        <v>0</v>
      </c>
      <c r="Q81" s="7">
        <v>1763</v>
      </c>
      <c r="R81" s="5">
        <f t="shared" ref="R81:R85" si="41">IFERROR(AVERAGE(Q75,Q81),(VALUE(Q75)+VALUE(Q81))/2)</f>
        <v>1364.5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:36" ht="24.75" customHeight="1">
      <c r="A82" s="4">
        <v>2</v>
      </c>
      <c r="B82" s="4" t="s">
        <v>95</v>
      </c>
      <c r="C82" s="4">
        <v>2.5</v>
      </c>
      <c r="D82" s="4">
        <v>1.2</v>
      </c>
      <c r="E82" s="7">
        <v>1956</v>
      </c>
      <c r="F82" s="4">
        <f t="shared" si="39"/>
        <v>6011</v>
      </c>
      <c r="G82" s="4">
        <v>2</v>
      </c>
      <c r="H82" s="4" t="s">
        <v>95</v>
      </c>
      <c r="I82" s="4">
        <v>2.5</v>
      </c>
      <c r="J82" s="4">
        <v>0</v>
      </c>
      <c r="K82" s="7">
        <v>1128</v>
      </c>
      <c r="L82" s="4">
        <f t="shared" si="40"/>
        <v>988</v>
      </c>
      <c r="M82" s="4">
        <v>2</v>
      </c>
      <c r="N82" s="4" t="s">
        <v>95</v>
      </c>
      <c r="O82" s="4">
        <v>2.5</v>
      </c>
      <c r="P82" s="7">
        <v>0.6</v>
      </c>
      <c r="Q82" s="7">
        <v>957</v>
      </c>
      <c r="R82" s="5">
        <f t="shared" si="41"/>
        <v>965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1:36" ht="24.75" customHeight="1">
      <c r="A83" s="4">
        <v>2</v>
      </c>
      <c r="B83" s="4" t="s">
        <v>97</v>
      </c>
      <c r="C83" s="4">
        <v>5</v>
      </c>
      <c r="D83" s="4">
        <v>3</v>
      </c>
      <c r="E83" s="7">
        <v>2637</v>
      </c>
      <c r="F83" s="4">
        <f t="shared" si="39"/>
        <v>1322.35</v>
      </c>
      <c r="G83" s="4">
        <v>2</v>
      </c>
      <c r="H83" s="4" t="s">
        <v>97</v>
      </c>
      <c r="I83" s="4">
        <v>5</v>
      </c>
      <c r="J83" s="4">
        <v>1.2</v>
      </c>
      <c r="K83" s="7">
        <v>718</v>
      </c>
      <c r="L83" s="4">
        <f t="shared" si="40"/>
        <v>832.5</v>
      </c>
      <c r="M83" s="4">
        <v>2</v>
      </c>
      <c r="N83" s="4" t="s">
        <v>97</v>
      </c>
      <c r="O83" s="4">
        <v>5</v>
      </c>
      <c r="P83" s="4">
        <v>2.6</v>
      </c>
      <c r="Q83" s="7">
        <v>1631</v>
      </c>
      <c r="R83" s="5">
        <f t="shared" si="41"/>
        <v>1214.5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:36" ht="24.75" customHeight="1">
      <c r="A84" s="4">
        <v>2</v>
      </c>
      <c r="B84" s="4" t="s">
        <v>100</v>
      </c>
      <c r="C84" s="4">
        <v>7.5</v>
      </c>
      <c r="D84" s="4">
        <v>8</v>
      </c>
      <c r="E84" s="7">
        <v>10083</v>
      </c>
      <c r="F84" s="4">
        <f t="shared" si="39"/>
        <v>5979.5</v>
      </c>
      <c r="G84" s="4">
        <v>2</v>
      </c>
      <c r="H84" s="4" t="s">
        <v>100</v>
      </c>
      <c r="I84" s="4">
        <v>7.5</v>
      </c>
      <c r="J84" s="4">
        <v>6.4</v>
      </c>
      <c r="K84" s="7">
        <v>878</v>
      </c>
      <c r="L84" s="4">
        <f t="shared" si="40"/>
        <v>816.5</v>
      </c>
      <c r="M84" s="4">
        <v>2</v>
      </c>
      <c r="N84" s="4" t="s">
        <v>100</v>
      </c>
      <c r="O84" s="4">
        <v>7.5</v>
      </c>
      <c r="P84" s="7">
        <v>8</v>
      </c>
      <c r="Q84" s="7">
        <v>1261</v>
      </c>
      <c r="R84" s="5">
        <f t="shared" si="41"/>
        <v>1350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1:36" ht="24.75" customHeight="1">
      <c r="A85" s="4">
        <v>2</v>
      </c>
      <c r="B85" s="4" t="s">
        <v>104</v>
      </c>
      <c r="C85" s="4">
        <v>10</v>
      </c>
      <c r="D85" s="4">
        <v>10</v>
      </c>
      <c r="E85" s="7">
        <v>3.64</v>
      </c>
      <c r="F85" s="4">
        <f t="shared" si="39"/>
        <v>5.74</v>
      </c>
      <c r="G85" s="4">
        <v>2</v>
      </c>
      <c r="H85" s="4" t="s">
        <v>104</v>
      </c>
      <c r="I85" s="4">
        <v>10</v>
      </c>
      <c r="J85" s="4">
        <v>8</v>
      </c>
      <c r="K85" s="7">
        <v>745</v>
      </c>
      <c r="L85" s="4">
        <f t="shared" si="40"/>
        <v>795.5</v>
      </c>
      <c r="M85" s="4">
        <v>2</v>
      </c>
      <c r="N85" s="4" t="s">
        <v>104</v>
      </c>
      <c r="O85" s="4">
        <v>10</v>
      </c>
      <c r="P85" s="7">
        <v>8</v>
      </c>
      <c r="Q85" s="7">
        <v>1074</v>
      </c>
      <c r="R85" s="5">
        <f t="shared" si="41"/>
        <v>1042.5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:36" ht="24.75" customHeight="1">
      <c r="A86" s="1" t="s">
        <v>105</v>
      </c>
      <c r="B86" s="2"/>
      <c r="C86" s="2"/>
      <c r="D86" s="2"/>
      <c r="E86" s="2"/>
      <c r="F86" s="2"/>
      <c r="G86" s="1" t="s">
        <v>105</v>
      </c>
      <c r="H86" s="2"/>
      <c r="I86" s="2"/>
      <c r="J86" s="2"/>
      <c r="K86" s="2"/>
      <c r="L86" s="2"/>
      <c r="M86" s="1" t="s">
        <v>105</v>
      </c>
      <c r="N86" s="2"/>
      <c r="O86" s="2"/>
      <c r="P86" s="2"/>
      <c r="Q86" s="2"/>
      <c r="R86" s="2"/>
      <c r="S86" s="1" t="s">
        <v>105</v>
      </c>
      <c r="T86" s="2"/>
      <c r="U86" s="2"/>
      <c r="V86" s="2"/>
      <c r="W86" s="2"/>
      <c r="X86" s="2"/>
      <c r="Y86" s="1" t="s">
        <v>105</v>
      </c>
      <c r="Z86" s="2"/>
      <c r="AA86" s="2"/>
      <c r="AB86" s="2"/>
      <c r="AC86" s="2"/>
      <c r="AD86" s="2"/>
      <c r="AE86" s="1" t="s">
        <v>105</v>
      </c>
      <c r="AF86" s="2"/>
      <c r="AG86" s="2"/>
      <c r="AH86" s="2"/>
      <c r="AI86" s="2"/>
      <c r="AJ86" s="2"/>
    </row>
    <row r="87" spans="1:36" ht="24.75" customHeight="1">
      <c r="A87" s="4">
        <v>1</v>
      </c>
      <c r="B87" s="4" t="s">
        <v>106</v>
      </c>
      <c r="C87" s="4">
        <v>0</v>
      </c>
      <c r="D87" s="4">
        <v>0</v>
      </c>
      <c r="E87" s="7">
        <v>2014</v>
      </c>
      <c r="F87" s="4">
        <f t="shared" ref="F87:F91" si="42">IFERROR(AVERAGE(D87,D93),(VALUE(D87)+VALUE(D93))/2)</f>
        <v>0</v>
      </c>
      <c r="G87" s="4">
        <v>1</v>
      </c>
      <c r="H87" s="4" t="s">
        <v>106</v>
      </c>
      <c r="I87" s="4">
        <v>0</v>
      </c>
      <c r="J87" s="4">
        <v>0</v>
      </c>
      <c r="K87" s="7">
        <v>6.82</v>
      </c>
      <c r="L87" s="4">
        <f t="shared" ref="L87:L91" si="43">IFERROR(AVERAGE(J87,J93),(VALUE(J87)+VALUE(J93))/2)</f>
        <v>0</v>
      </c>
      <c r="M87" s="4">
        <v>1</v>
      </c>
      <c r="N87" s="4" t="s">
        <v>106</v>
      </c>
      <c r="O87" s="4">
        <v>0</v>
      </c>
      <c r="P87" s="7">
        <v>0</v>
      </c>
      <c r="Q87" s="7">
        <v>1154</v>
      </c>
      <c r="R87" s="5">
        <f t="shared" ref="R87:R91" si="44">IFERROR(AVERAGE(P87,P93),(VALUE(P87)+VALUE(P93))/2)</f>
        <v>0</v>
      </c>
      <c r="S87" s="5">
        <v>1</v>
      </c>
      <c r="T87" s="5" t="s">
        <v>106</v>
      </c>
      <c r="U87" s="5" t="s">
        <v>12</v>
      </c>
      <c r="V87" s="5" t="s">
        <v>12</v>
      </c>
      <c r="W87" s="9">
        <v>24522</v>
      </c>
      <c r="X87" s="5"/>
      <c r="Y87" s="5">
        <v>1</v>
      </c>
      <c r="Z87" s="5" t="s">
        <v>106</v>
      </c>
      <c r="AA87" s="5" t="s">
        <v>12</v>
      </c>
      <c r="AB87" s="5" t="s">
        <v>12</v>
      </c>
      <c r="AC87" s="9">
        <v>10421</v>
      </c>
      <c r="AD87" s="5"/>
      <c r="AE87" s="5"/>
      <c r="AF87" s="5"/>
      <c r="AG87" s="5"/>
      <c r="AH87" s="5"/>
      <c r="AI87" s="5"/>
      <c r="AJ87" s="5"/>
    </row>
    <row r="88" spans="1:36" ht="24.75" customHeight="1">
      <c r="A88" s="4">
        <v>1</v>
      </c>
      <c r="B88" s="4" t="s">
        <v>107</v>
      </c>
      <c r="C88" s="4">
        <v>2.5</v>
      </c>
      <c r="D88" s="4">
        <v>1.5</v>
      </c>
      <c r="E88" s="7">
        <v>10083</v>
      </c>
      <c r="F88" s="5">
        <f t="shared" si="42"/>
        <v>1.5</v>
      </c>
      <c r="G88" s="4">
        <v>1</v>
      </c>
      <c r="H88" s="4" t="s">
        <v>107</v>
      </c>
      <c r="I88" s="4">
        <v>2.5</v>
      </c>
      <c r="J88" s="4">
        <v>0.78</v>
      </c>
      <c r="K88" s="7">
        <v>893</v>
      </c>
      <c r="L88" s="5">
        <f t="shared" si="43"/>
        <v>0.39</v>
      </c>
      <c r="M88" s="4">
        <v>1</v>
      </c>
      <c r="N88" s="4" t="s">
        <v>107</v>
      </c>
      <c r="O88" s="4">
        <v>2.5</v>
      </c>
      <c r="P88" s="4">
        <v>0.78</v>
      </c>
      <c r="Q88" s="7">
        <v>1551</v>
      </c>
      <c r="R88" s="5">
        <f t="shared" si="44"/>
        <v>0.78</v>
      </c>
      <c r="S88" s="5">
        <v>1</v>
      </c>
      <c r="T88" s="5" t="s">
        <v>107</v>
      </c>
      <c r="U88" s="5" t="s">
        <v>16</v>
      </c>
      <c r="V88" s="5" t="s">
        <v>34</v>
      </c>
      <c r="W88" s="9">
        <v>12795</v>
      </c>
      <c r="X88" s="5"/>
      <c r="Y88" s="5">
        <v>1</v>
      </c>
      <c r="Z88" s="5" t="s">
        <v>107</v>
      </c>
      <c r="AA88" s="5" t="s">
        <v>16</v>
      </c>
      <c r="AB88" s="5" t="s">
        <v>98</v>
      </c>
      <c r="AC88" s="9">
        <v>16039</v>
      </c>
      <c r="AD88" s="5"/>
      <c r="AE88" s="5"/>
      <c r="AF88" s="5"/>
      <c r="AG88" s="5"/>
      <c r="AH88" s="5"/>
      <c r="AI88" s="5"/>
      <c r="AJ88" s="5"/>
    </row>
    <row r="89" spans="1:36" ht="24.75" customHeight="1">
      <c r="A89" s="4">
        <v>1</v>
      </c>
      <c r="B89" s="4" t="s">
        <v>108</v>
      </c>
      <c r="C89" s="4">
        <v>5</v>
      </c>
      <c r="D89" s="4">
        <v>5.5</v>
      </c>
      <c r="E89" s="7">
        <v>1826</v>
      </c>
      <c r="F89" s="5">
        <f t="shared" si="42"/>
        <v>5.5</v>
      </c>
      <c r="G89" s="4">
        <v>1</v>
      </c>
      <c r="H89" s="4" t="s">
        <v>108</v>
      </c>
      <c r="I89" s="4">
        <v>5</v>
      </c>
      <c r="J89" s="4">
        <v>3.1</v>
      </c>
      <c r="K89" s="7">
        <v>809</v>
      </c>
      <c r="L89" s="5">
        <f t="shared" si="43"/>
        <v>4.2</v>
      </c>
      <c r="M89" s="4">
        <v>1</v>
      </c>
      <c r="N89" s="4" t="s">
        <v>108</v>
      </c>
      <c r="O89" s="4">
        <v>5</v>
      </c>
      <c r="P89" s="4">
        <v>5.29</v>
      </c>
      <c r="Q89" s="7">
        <v>1853</v>
      </c>
      <c r="R89" s="5">
        <f t="shared" si="44"/>
        <v>4.8949999999999996</v>
      </c>
      <c r="S89" s="5">
        <v>1</v>
      </c>
      <c r="T89" s="5" t="s">
        <v>108</v>
      </c>
      <c r="U89" s="5" t="s">
        <v>20</v>
      </c>
      <c r="V89" s="5" t="s">
        <v>109</v>
      </c>
      <c r="W89" s="9">
        <v>8549</v>
      </c>
      <c r="X89" s="5"/>
      <c r="Y89" s="5">
        <v>1</v>
      </c>
      <c r="Z89" s="5" t="s">
        <v>108</v>
      </c>
      <c r="AA89" s="5" t="s">
        <v>20</v>
      </c>
      <c r="AB89" s="5" t="s">
        <v>110</v>
      </c>
      <c r="AC89" s="9">
        <v>282382</v>
      </c>
      <c r="AD89" s="5"/>
      <c r="AE89" s="5"/>
      <c r="AF89" s="5"/>
      <c r="AG89" s="5"/>
      <c r="AH89" s="5"/>
      <c r="AI89" s="5"/>
      <c r="AJ89" s="5"/>
    </row>
    <row r="90" spans="1:36" ht="24.75" customHeight="1">
      <c r="A90" s="4">
        <v>1</v>
      </c>
      <c r="B90" s="4" t="s">
        <v>111</v>
      </c>
      <c r="C90" s="4">
        <v>7.5</v>
      </c>
      <c r="D90" s="4">
        <v>7.5</v>
      </c>
      <c r="E90" s="7">
        <v>4129</v>
      </c>
      <c r="F90" s="5">
        <f t="shared" si="42"/>
        <v>7.5</v>
      </c>
      <c r="G90" s="4">
        <v>1</v>
      </c>
      <c r="H90" s="4" t="s">
        <v>111</v>
      </c>
      <c r="I90" s="4">
        <v>7.5</v>
      </c>
      <c r="J90" s="4">
        <v>6.67</v>
      </c>
      <c r="K90" s="7">
        <v>735</v>
      </c>
      <c r="L90" s="5">
        <f t="shared" si="43"/>
        <v>6.67</v>
      </c>
      <c r="M90" s="4">
        <v>1</v>
      </c>
      <c r="N90" s="4" t="s">
        <v>111</v>
      </c>
      <c r="O90" s="4">
        <v>7.5</v>
      </c>
      <c r="P90" s="4">
        <v>5.3</v>
      </c>
      <c r="Q90" s="7">
        <v>992</v>
      </c>
      <c r="R90" s="5">
        <f t="shared" si="44"/>
        <v>4.6999999999999993</v>
      </c>
      <c r="S90" s="5">
        <v>1</v>
      </c>
      <c r="T90" s="5" t="s">
        <v>111</v>
      </c>
      <c r="U90" s="5" t="s">
        <v>24</v>
      </c>
      <c r="V90" s="5" t="s">
        <v>22</v>
      </c>
      <c r="W90" s="9">
        <v>11676</v>
      </c>
      <c r="X90" s="5"/>
      <c r="Y90" s="5">
        <v>1</v>
      </c>
      <c r="Z90" s="5" t="s">
        <v>111</v>
      </c>
      <c r="AA90" s="5" t="s">
        <v>24</v>
      </c>
      <c r="AB90" s="5" t="s">
        <v>40</v>
      </c>
      <c r="AC90" s="9">
        <v>19795</v>
      </c>
      <c r="AD90" s="5"/>
      <c r="AE90" s="5"/>
      <c r="AF90" s="5"/>
      <c r="AG90" s="5"/>
      <c r="AH90" s="5"/>
      <c r="AI90" s="5"/>
      <c r="AJ90" s="5"/>
    </row>
    <row r="91" spans="1:36" ht="24.75" customHeight="1">
      <c r="A91" s="4">
        <v>1</v>
      </c>
      <c r="B91" s="4" t="s">
        <v>112</v>
      </c>
      <c r="C91" s="4">
        <v>10</v>
      </c>
      <c r="D91" s="4">
        <v>10</v>
      </c>
      <c r="E91" s="7">
        <v>2871</v>
      </c>
      <c r="F91" s="5">
        <f t="shared" si="42"/>
        <v>10</v>
      </c>
      <c r="G91" s="4">
        <v>1</v>
      </c>
      <c r="H91" s="4" t="s">
        <v>112</v>
      </c>
      <c r="I91" s="4">
        <v>10</v>
      </c>
      <c r="J91" s="4">
        <v>7.8</v>
      </c>
      <c r="K91" s="7">
        <v>2285</v>
      </c>
      <c r="L91" s="5">
        <f t="shared" si="43"/>
        <v>7.8</v>
      </c>
      <c r="M91" s="4">
        <v>1</v>
      </c>
      <c r="N91" s="4" t="s">
        <v>112</v>
      </c>
      <c r="O91" s="4">
        <v>10</v>
      </c>
      <c r="P91" s="4">
        <v>7.84</v>
      </c>
      <c r="Q91" s="7">
        <v>1722</v>
      </c>
      <c r="R91" s="5">
        <f t="shared" si="44"/>
        <v>7.84</v>
      </c>
      <c r="S91" s="5">
        <v>1</v>
      </c>
      <c r="T91" s="5" t="s">
        <v>112</v>
      </c>
      <c r="U91" s="5" t="s">
        <v>27</v>
      </c>
      <c r="V91" s="5" t="s">
        <v>44</v>
      </c>
      <c r="W91" s="9">
        <v>15436</v>
      </c>
      <c r="X91" s="5"/>
      <c r="Y91" s="5">
        <v>1</v>
      </c>
      <c r="Z91" s="5" t="s">
        <v>112</v>
      </c>
      <c r="AA91" s="5" t="s">
        <v>27</v>
      </c>
      <c r="AB91" s="5" t="s">
        <v>27</v>
      </c>
      <c r="AC91" s="9">
        <v>8091</v>
      </c>
      <c r="AD91" s="5"/>
      <c r="AE91" s="5"/>
      <c r="AF91" s="5"/>
      <c r="AG91" s="5"/>
      <c r="AH91" s="5"/>
      <c r="AI91" s="5"/>
      <c r="AJ91" s="5"/>
    </row>
    <row r="92" spans="1:36" ht="24.75" customHeight="1">
      <c r="A92" s="4"/>
      <c r="B92" s="4"/>
      <c r="C92" s="4"/>
      <c r="D92" s="4"/>
      <c r="E92" s="7"/>
      <c r="F92" s="4" t="s">
        <v>30</v>
      </c>
      <c r="G92" s="4"/>
      <c r="H92" s="4"/>
      <c r="I92" s="4"/>
      <c r="J92" s="7"/>
      <c r="K92" s="7"/>
      <c r="L92" s="5" t="s">
        <v>30</v>
      </c>
      <c r="M92" s="4"/>
      <c r="N92" s="4"/>
      <c r="O92" s="4"/>
      <c r="P92" s="4"/>
      <c r="Q92" s="7"/>
      <c r="R92" s="5" t="s">
        <v>30</v>
      </c>
      <c r="S92" s="5"/>
      <c r="T92" s="5"/>
      <c r="U92" s="5"/>
      <c r="V92" s="5"/>
      <c r="W92" s="5"/>
      <c r="X92" s="5" t="s">
        <v>30</v>
      </c>
      <c r="Y92" s="5"/>
      <c r="Z92" s="5"/>
      <c r="AA92" s="5"/>
      <c r="AB92" s="5"/>
      <c r="AC92" s="5"/>
      <c r="AD92" s="5" t="s">
        <v>30</v>
      </c>
      <c r="AE92" s="5"/>
      <c r="AF92" s="5"/>
      <c r="AG92" s="5"/>
      <c r="AH92" s="5"/>
      <c r="AI92" s="5"/>
      <c r="AJ92" s="5"/>
    </row>
    <row r="93" spans="1:36" ht="24.75" customHeight="1">
      <c r="A93" s="4">
        <v>2</v>
      </c>
      <c r="B93" s="4" t="s">
        <v>106</v>
      </c>
      <c r="C93" s="4">
        <v>0</v>
      </c>
      <c r="D93" s="4">
        <v>0</v>
      </c>
      <c r="E93" s="7">
        <v>1997</v>
      </c>
      <c r="F93" s="4">
        <f t="shared" ref="F93:F97" si="45">IFERROR(AVERAGE(E87,E93),(VALUE(E87)+VALUE(E93))/2)</f>
        <v>2005.5</v>
      </c>
      <c r="G93" s="4">
        <v>2</v>
      </c>
      <c r="H93" s="4" t="s">
        <v>106</v>
      </c>
      <c r="I93" s="4">
        <v>0</v>
      </c>
      <c r="J93" s="7">
        <v>0</v>
      </c>
      <c r="K93" s="7">
        <v>1075</v>
      </c>
      <c r="L93" s="5">
        <f t="shared" ref="L93:L97" si="46">IFERROR(AVERAGE(K87,K93),(VALUE(K87)+VALUE(K93))/2)</f>
        <v>540.91</v>
      </c>
      <c r="M93" s="4">
        <v>2</v>
      </c>
      <c r="N93" s="4" t="s">
        <v>106</v>
      </c>
      <c r="O93" s="4">
        <v>0</v>
      </c>
      <c r="P93" s="4">
        <v>0</v>
      </c>
      <c r="Q93" s="7">
        <v>1631</v>
      </c>
      <c r="R93" s="5">
        <f t="shared" ref="R93:R97" si="47">IFERROR(AVERAGE(Q87,Q93),(VALUE(Q87)+VALUE(Q93))/2)</f>
        <v>1392.5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:36" ht="24.75" customHeight="1">
      <c r="A94" s="4">
        <v>2</v>
      </c>
      <c r="B94" s="4" t="s">
        <v>107</v>
      </c>
      <c r="C94" s="4">
        <v>2.5</v>
      </c>
      <c r="D94" s="4">
        <v>1.5</v>
      </c>
      <c r="E94" s="7">
        <v>5277</v>
      </c>
      <c r="F94" s="4">
        <f t="shared" si="45"/>
        <v>7680</v>
      </c>
      <c r="G94" s="4">
        <v>2</v>
      </c>
      <c r="H94" s="4" t="s">
        <v>107</v>
      </c>
      <c r="I94" s="4">
        <v>2.5</v>
      </c>
      <c r="J94" s="4">
        <v>0</v>
      </c>
      <c r="K94" s="7">
        <v>0.97</v>
      </c>
      <c r="L94" s="5">
        <f t="shared" si="46"/>
        <v>446.98500000000001</v>
      </c>
      <c r="M94" s="4">
        <v>2</v>
      </c>
      <c r="N94" s="4" t="s">
        <v>107</v>
      </c>
      <c r="O94" s="4">
        <v>2.5</v>
      </c>
      <c r="P94" s="4">
        <v>0.78</v>
      </c>
      <c r="Q94" s="7">
        <v>1.43</v>
      </c>
      <c r="R94" s="5">
        <f t="shared" si="47"/>
        <v>776.21500000000003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1:36" ht="24.75" customHeight="1">
      <c r="A95" s="4">
        <v>2</v>
      </c>
      <c r="B95" s="4" t="s">
        <v>108</v>
      </c>
      <c r="C95" s="4">
        <v>5</v>
      </c>
      <c r="D95" s="4">
        <v>5.5</v>
      </c>
      <c r="E95" s="7">
        <v>1937</v>
      </c>
      <c r="F95" s="4">
        <f t="shared" si="45"/>
        <v>1881.5</v>
      </c>
      <c r="G95" s="4">
        <v>2</v>
      </c>
      <c r="H95" s="4" t="s">
        <v>108</v>
      </c>
      <c r="I95" s="4">
        <v>5</v>
      </c>
      <c r="J95" s="4">
        <v>5.3</v>
      </c>
      <c r="K95" s="7">
        <v>1033</v>
      </c>
      <c r="L95" s="5">
        <f t="shared" si="46"/>
        <v>921</v>
      </c>
      <c r="M95" s="4">
        <v>2</v>
      </c>
      <c r="N95" s="4" t="s">
        <v>108</v>
      </c>
      <c r="O95" s="4">
        <v>5</v>
      </c>
      <c r="P95" s="4">
        <v>4.5</v>
      </c>
      <c r="Q95" s="7">
        <v>1538</v>
      </c>
      <c r="R95" s="5">
        <f t="shared" si="47"/>
        <v>1695.5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1:36" ht="24.75" customHeight="1">
      <c r="A96" s="4">
        <v>2</v>
      </c>
      <c r="B96" s="4" t="s">
        <v>111</v>
      </c>
      <c r="C96" s="4">
        <v>7.5</v>
      </c>
      <c r="D96" s="4">
        <v>7.5</v>
      </c>
      <c r="E96" s="7">
        <v>2379</v>
      </c>
      <c r="F96" s="4">
        <f t="shared" si="45"/>
        <v>3254</v>
      </c>
      <c r="G96" s="4">
        <v>2</v>
      </c>
      <c r="H96" s="4" t="s">
        <v>111</v>
      </c>
      <c r="I96" s="4">
        <v>7.5</v>
      </c>
      <c r="J96" s="4">
        <v>6.67</v>
      </c>
      <c r="K96" s="7">
        <v>1031</v>
      </c>
      <c r="L96" s="5">
        <f t="shared" si="46"/>
        <v>883</v>
      </c>
      <c r="M96" s="4">
        <v>2</v>
      </c>
      <c r="N96" s="4" t="s">
        <v>111</v>
      </c>
      <c r="O96" s="4">
        <v>7.5</v>
      </c>
      <c r="P96" s="4">
        <v>4.0999999999999996</v>
      </c>
      <c r="Q96" s="7">
        <v>917</v>
      </c>
      <c r="R96" s="5">
        <f t="shared" si="47"/>
        <v>954.5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1:36" ht="24.75" customHeight="1">
      <c r="A97" s="4">
        <v>2</v>
      </c>
      <c r="B97" s="4" t="s">
        <v>112</v>
      </c>
      <c r="C97" s="4">
        <v>10</v>
      </c>
      <c r="D97" s="4">
        <v>10</v>
      </c>
      <c r="E97" s="7">
        <v>10076</v>
      </c>
      <c r="F97" s="4">
        <f t="shared" si="45"/>
        <v>6473.5</v>
      </c>
      <c r="G97" s="4">
        <v>2</v>
      </c>
      <c r="H97" s="4" t="s">
        <v>112</v>
      </c>
      <c r="I97" s="4">
        <v>10</v>
      </c>
      <c r="J97" s="4">
        <v>7.8</v>
      </c>
      <c r="K97" s="7">
        <v>803</v>
      </c>
      <c r="L97" s="5">
        <f t="shared" si="46"/>
        <v>1544</v>
      </c>
      <c r="M97" s="4">
        <v>2</v>
      </c>
      <c r="N97" s="4" t="s">
        <v>112</v>
      </c>
      <c r="O97" s="4">
        <v>10</v>
      </c>
      <c r="P97" s="4">
        <v>7.84</v>
      </c>
      <c r="Q97" s="7">
        <v>1101</v>
      </c>
      <c r="R97" s="5">
        <f t="shared" si="47"/>
        <v>1411.5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spans="1:36" ht="24.75" customHeight="1">
      <c r="A98" s="1" t="s">
        <v>113</v>
      </c>
      <c r="B98" s="2"/>
      <c r="C98" s="2"/>
      <c r="D98" s="2"/>
      <c r="E98" s="2"/>
      <c r="F98" s="2"/>
      <c r="G98" s="1" t="s">
        <v>113</v>
      </c>
      <c r="H98" s="2"/>
      <c r="I98" s="2"/>
      <c r="J98" s="2"/>
      <c r="K98" s="2"/>
      <c r="L98" s="2"/>
      <c r="M98" s="1" t="s">
        <v>113</v>
      </c>
      <c r="N98" s="2"/>
      <c r="O98" s="2"/>
      <c r="P98" s="2"/>
      <c r="Q98" s="2"/>
      <c r="R98" s="2"/>
      <c r="S98" s="1" t="s">
        <v>113</v>
      </c>
      <c r="T98" s="2"/>
      <c r="U98" s="2"/>
      <c r="V98" s="2"/>
      <c r="W98" s="2"/>
      <c r="X98" s="2"/>
      <c r="Y98" s="1" t="s">
        <v>113</v>
      </c>
      <c r="Z98" s="2"/>
      <c r="AA98" s="2"/>
      <c r="AB98" s="2"/>
      <c r="AC98" s="2"/>
      <c r="AD98" s="2"/>
      <c r="AE98" s="1" t="s">
        <v>113</v>
      </c>
      <c r="AF98" s="2"/>
      <c r="AG98" s="2"/>
      <c r="AH98" s="2"/>
      <c r="AI98" s="2"/>
      <c r="AJ98" s="2"/>
    </row>
    <row r="99" spans="1:36" ht="24.75" customHeight="1">
      <c r="A99" s="4">
        <v>1</v>
      </c>
      <c r="B99" s="4" t="s">
        <v>114</v>
      </c>
      <c r="C99" s="4">
        <v>0</v>
      </c>
      <c r="D99" s="4">
        <v>0</v>
      </c>
      <c r="E99" s="7">
        <v>10381</v>
      </c>
      <c r="F99" s="4">
        <f t="shared" ref="F99:F103" si="48">IFERROR(AVERAGE(D99,D105),(VALUE(D99)+VALUE(D105))/2)</f>
        <v>0</v>
      </c>
      <c r="G99" s="4">
        <v>1</v>
      </c>
      <c r="H99" s="4" t="s">
        <v>114</v>
      </c>
      <c r="I99" s="4">
        <v>0</v>
      </c>
      <c r="J99" s="4">
        <v>0</v>
      </c>
      <c r="K99" s="7">
        <v>1042</v>
      </c>
      <c r="L99" s="5">
        <f t="shared" ref="L99:L103" si="49">IFERROR(AVERAGE(J99,J105),(VALUE(J99)+VALUE(J105))/2)</f>
        <v>0</v>
      </c>
      <c r="M99" s="4">
        <v>1</v>
      </c>
      <c r="N99" s="4" t="s">
        <v>114</v>
      </c>
      <c r="O99" s="4">
        <v>0</v>
      </c>
      <c r="P99" s="4">
        <v>0</v>
      </c>
      <c r="Q99" s="7">
        <v>1247</v>
      </c>
      <c r="R99" s="5">
        <f t="shared" ref="R99:R103" si="50">IFERROR(AVERAGE(P99,P105),(VALUE(P99)+VALUE(P105))/2)</f>
        <v>0</v>
      </c>
      <c r="S99" s="5">
        <v>1</v>
      </c>
      <c r="T99" s="5" t="s">
        <v>114</v>
      </c>
      <c r="U99" s="5" t="s">
        <v>12</v>
      </c>
      <c r="V99" s="5" t="s">
        <v>17</v>
      </c>
      <c r="W99" s="9">
        <v>13339</v>
      </c>
      <c r="X99" s="5"/>
      <c r="Y99" s="5">
        <v>1</v>
      </c>
      <c r="Z99" s="10" t="s">
        <v>114</v>
      </c>
      <c r="AA99" s="10" t="s">
        <v>12</v>
      </c>
      <c r="AB99" s="10" t="s">
        <v>12</v>
      </c>
      <c r="AC99" s="11">
        <v>17827</v>
      </c>
      <c r="AD99" s="5"/>
      <c r="AE99" s="5"/>
      <c r="AF99" s="5"/>
      <c r="AG99" s="5"/>
      <c r="AH99" s="5"/>
      <c r="AI99" s="5"/>
      <c r="AJ99" s="5"/>
    </row>
    <row r="100" spans="1:36" ht="24.75" customHeight="1">
      <c r="A100" s="4">
        <v>1</v>
      </c>
      <c r="B100" s="4" t="s">
        <v>115</v>
      </c>
      <c r="C100" s="4">
        <v>2.5</v>
      </c>
      <c r="D100" s="4">
        <v>1.5</v>
      </c>
      <c r="E100" s="7">
        <v>5724</v>
      </c>
      <c r="F100" s="5">
        <f t="shared" si="48"/>
        <v>1.58</v>
      </c>
      <c r="G100" s="4">
        <v>1</v>
      </c>
      <c r="H100" s="4" t="s">
        <v>115</v>
      </c>
      <c r="I100" s="4">
        <v>2.5</v>
      </c>
      <c r="J100" s="4">
        <v>3.9</v>
      </c>
      <c r="K100" s="7">
        <v>1007</v>
      </c>
      <c r="L100" s="5">
        <f t="shared" si="49"/>
        <v>3.3250000000000002</v>
      </c>
      <c r="M100" s="4">
        <v>1</v>
      </c>
      <c r="N100" s="4" t="s">
        <v>115</v>
      </c>
      <c r="O100" s="4">
        <v>2.5</v>
      </c>
      <c r="P100" s="4">
        <v>1.96</v>
      </c>
      <c r="Q100" s="4">
        <v>1.7</v>
      </c>
      <c r="R100" s="5">
        <f t="shared" si="50"/>
        <v>0.98</v>
      </c>
      <c r="S100" s="5">
        <v>1</v>
      </c>
      <c r="T100" s="5" t="s">
        <v>115</v>
      </c>
      <c r="U100" s="5" t="s">
        <v>16</v>
      </c>
      <c r="V100" s="5" t="s">
        <v>50</v>
      </c>
      <c r="W100" s="9">
        <v>8601</v>
      </c>
      <c r="X100" s="5"/>
      <c r="Y100" s="5">
        <v>1</v>
      </c>
      <c r="Z100" s="10" t="s">
        <v>115</v>
      </c>
      <c r="AA100" s="10" t="s">
        <v>16</v>
      </c>
      <c r="AB100" s="10" t="s">
        <v>18</v>
      </c>
      <c r="AC100" s="11">
        <v>23481</v>
      </c>
      <c r="AD100" s="5"/>
      <c r="AE100" s="5"/>
      <c r="AF100" s="5"/>
      <c r="AG100" s="5"/>
      <c r="AH100" s="5"/>
      <c r="AI100" s="5"/>
      <c r="AJ100" s="5"/>
    </row>
    <row r="101" spans="1:36" ht="24.75" customHeight="1">
      <c r="A101" s="4">
        <v>1</v>
      </c>
      <c r="B101" s="4" t="s">
        <v>116</v>
      </c>
      <c r="C101" s="4">
        <v>5</v>
      </c>
      <c r="D101" s="4">
        <v>5.5</v>
      </c>
      <c r="E101" s="7">
        <v>1778</v>
      </c>
      <c r="F101" s="5">
        <f t="shared" si="48"/>
        <v>5.5</v>
      </c>
      <c r="G101" s="4">
        <v>1</v>
      </c>
      <c r="H101" s="4" t="s">
        <v>116</v>
      </c>
      <c r="I101" s="4">
        <v>5</v>
      </c>
      <c r="J101" s="4">
        <v>6.3</v>
      </c>
      <c r="K101" s="7">
        <v>1576</v>
      </c>
      <c r="L101" s="5">
        <f t="shared" si="49"/>
        <v>7.07</v>
      </c>
      <c r="M101" s="4">
        <v>1</v>
      </c>
      <c r="N101" s="4" t="s">
        <v>116</v>
      </c>
      <c r="O101" s="4">
        <v>5</v>
      </c>
      <c r="P101" s="4">
        <v>4.9000000000000004</v>
      </c>
      <c r="Q101" s="7">
        <v>902</v>
      </c>
      <c r="R101" s="5">
        <f t="shared" si="50"/>
        <v>6.25</v>
      </c>
      <c r="S101" s="5">
        <v>1</v>
      </c>
      <c r="T101" s="5" t="s">
        <v>116</v>
      </c>
      <c r="U101" s="5" t="s">
        <v>20</v>
      </c>
      <c r="V101" s="5" t="s">
        <v>117</v>
      </c>
      <c r="W101" s="9">
        <v>20181</v>
      </c>
      <c r="X101" s="5"/>
      <c r="Y101" s="5">
        <v>1</v>
      </c>
      <c r="Z101" s="10" t="s">
        <v>116</v>
      </c>
      <c r="AA101" s="10" t="s">
        <v>20</v>
      </c>
      <c r="AB101" s="10" t="s">
        <v>118</v>
      </c>
      <c r="AC101" s="11">
        <v>10577</v>
      </c>
      <c r="AD101" s="5"/>
      <c r="AE101" s="5"/>
      <c r="AF101" s="5"/>
      <c r="AG101" s="5"/>
      <c r="AH101" s="5"/>
      <c r="AI101" s="5"/>
      <c r="AJ101" s="5"/>
    </row>
    <row r="102" spans="1:36" ht="24.75" customHeight="1">
      <c r="A102" s="4">
        <v>1</v>
      </c>
      <c r="B102" s="4" t="s">
        <v>119</v>
      </c>
      <c r="C102" s="4">
        <v>7.5</v>
      </c>
      <c r="D102" s="4">
        <v>5.5</v>
      </c>
      <c r="E102" s="7">
        <v>3304</v>
      </c>
      <c r="F102" s="5">
        <f t="shared" si="48"/>
        <v>5.5</v>
      </c>
      <c r="G102" s="4">
        <v>1</v>
      </c>
      <c r="H102" s="4" t="s">
        <v>119</v>
      </c>
      <c r="I102" s="4">
        <v>7.5</v>
      </c>
      <c r="J102" s="4">
        <v>6.67</v>
      </c>
      <c r="K102" s="7">
        <v>912</v>
      </c>
      <c r="L102" s="5">
        <f t="shared" si="49"/>
        <v>7.2549999999999999</v>
      </c>
      <c r="M102" s="4">
        <v>1</v>
      </c>
      <c r="N102" s="4" t="s">
        <v>119</v>
      </c>
      <c r="O102" s="4">
        <v>7.5</v>
      </c>
      <c r="P102" s="4">
        <v>9</v>
      </c>
      <c r="Q102" s="7">
        <v>1228</v>
      </c>
      <c r="R102" s="5">
        <f t="shared" si="50"/>
        <v>8.620000000000001</v>
      </c>
      <c r="S102" s="5">
        <v>1</v>
      </c>
      <c r="T102" s="5" t="s">
        <v>119</v>
      </c>
      <c r="U102" s="5" t="s">
        <v>24</v>
      </c>
      <c r="V102" s="5" t="s">
        <v>42</v>
      </c>
      <c r="W102" s="5" t="s">
        <v>120</v>
      </c>
      <c r="X102" s="5"/>
      <c r="Y102" s="5">
        <v>1</v>
      </c>
      <c r="Z102" s="10" t="s">
        <v>119</v>
      </c>
      <c r="AA102" s="10" t="s">
        <v>24</v>
      </c>
      <c r="AB102" s="10" t="s">
        <v>90</v>
      </c>
      <c r="AC102" s="11">
        <v>23463</v>
      </c>
      <c r="AD102" s="5"/>
      <c r="AE102" s="5"/>
      <c r="AF102" s="5"/>
      <c r="AG102" s="5"/>
      <c r="AH102" s="5"/>
      <c r="AI102" s="5"/>
      <c r="AJ102" s="5"/>
    </row>
    <row r="103" spans="1:36" ht="24.75" customHeight="1">
      <c r="A103" s="4">
        <v>1</v>
      </c>
      <c r="B103" s="4" t="s">
        <v>121</v>
      </c>
      <c r="C103" s="4">
        <v>10</v>
      </c>
      <c r="D103" s="4">
        <v>10</v>
      </c>
      <c r="E103" s="7">
        <v>2163</v>
      </c>
      <c r="F103" s="5">
        <f t="shared" si="48"/>
        <v>10</v>
      </c>
      <c r="G103" s="4">
        <v>1</v>
      </c>
      <c r="H103" s="4" t="s">
        <v>121</v>
      </c>
      <c r="I103" s="4">
        <v>10</v>
      </c>
      <c r="J103" s="4">
        <v>7.8</v>
      </c>
      <c r="K103" s="7">
        <v>876</v>
      </c>
      <c r="L103" s="5">
        <f t="shared" si="49"/>
        <v>7.8</v>
      </c>
      <c r="M103" s="4">
        <v>1</v>
      </c>
      <c r="N103" s="4" t="s">
        <v>121</v>
      </c>
      <c r="O103" s="4">
        <v>10</v>
      </c>
      <c r="P103" s="4">
        <v>7.84</v>
      </c>
      <c r="Q103" s="7">
        <v>1163</v>
      </c>
      <c r="R103" s="5">
        <f t="shared" si="50"/>
        <v>8.02</v>
      </c>
      <c r="S103" s="5">
        <v>1</v>
      </c>
      <c r="T103" s="5" t="s">
        <v>121</v>
      </c>
      <c r="U103" s="5" t="s">
        <v>27</v>
      </c>
      <c r="V103" s="5" t="s">
        <v>44</v>
      </c>
      <c r="W103" s="9">
        <v>11224</v>
      </c>
      <c r="X103" s="5"/>
      <c r="Y103" s="5">
        <v>1</v>
      </c>
      <c r="Z103" s="10" t="s">
        <v>121</v>
      </c>
      <c r="AA103" s="10" t="s">
        <v>27</v>
      </c>
      <c r="AB103" s="10" t="s">
        <v>122</v>
      </c>
      <c r="AC103" s="11">
        <v>263274</v>
      </c>
      <c r="AD103" s="5"/>
      <c r="AE103" s="5"/>
      <c r="AF103" s="5"/>
      <c r="AG103" s="5"/>
      <c r="AH103" s="5"/>
      <c r="AI103" s="5"/>
      <c r="AJ103" s="5"/>
    </row>
    <row r="104" spans="1:36" ht="24.75" customHeight="1">
      <c r="A104" s="4"/>
      <c r="B104" s="4"/>
      <c r="C104" s="4"/>
      <c r="D104" s="4"/>
      <c r="E104" s="7"/>
      <c r="F104" s="4" t="s">
        <v>30</v>
      </c>
      <c r="G104" s="4"/>
      <c r="H104" s="4"/>
      <c r="I104" s="4"/>
      <c r="J104" s="7"/>
      <c r="K104" s="7"/>
      <c r="L104" s="5" t="s">
        <v>30</v>
      </c>
      <c r="M104" s="4"/>
      <c r="N104" s="4"/>
      <c r="O104" s="4"/>
      <c r="P104" s="4"/>
      <c r="Q104" s="7"/>
      <c r="R104" s="5" t="s">
        <v>30</v>
      </c>
      <c r="S104" s="5"/>
      <c r="T104" s="5"/>
      <c r="U104" s="5"/>
      <c r="V104" s="5"/>
      <c r="W104" s="5"/>
      <c r="X104" s="5" t="s">
        <v>30</v>
      </c>
      <c r="Y104" s="5"/>
      <c r="Z104" s="5"/>
      <c r="AA104" s="5"/>
      <c r="AB104" s="5"/>
      <c r="AC104" s="5"/>
      <c r="AD104" s="5" t="s">
        <v>30</v>
      </c>
      <c r="AE104" s="5"/>
      <c r="AF104" s="5"/>
      <c r="AG104" s="5"/>
      <c r="AH104" s="5"/>
      <c r="AI104" s="5"/>
      <c r="AJ104" s="5"/>
    </row>
    <row r="105" spans="1:36" ht="24.75" customHeight="1">
      <c r="A105" s="4">
        <v>2</v>
      </c>
      <c r="B105" s="4" t="s">
        <v>114</v>
      </c>
      <c r="C105" s="4">
        <v>0</v>
      </c>
      <c r="D105" s="4">
        <v>0</v>
      </c>
      <c r="E105" s="7">
        <v>1908</v>
      </c>
      <c r="F105" s="4">
        <f t="shared" ref="F105:F109" si="51">IFERROR(AVERAGE(E99,E105),(VALUE(E99)+VALUE(E105))/2)</f>
        <v>6144.5</v>
      </c>
      <c r="G105" s="4">
        <v>2</v>
      </c>
      <c r="H105" s="4" t="s">
        <v>114</v>
      </c>
      <c r="I105" s="4">
        <v>0</v>
      </c>
      <c r="J105" s="7">
        <v>0</v>
      </c>
      <c r="K105" s="7">
        <v>782</v>
      </c>
      <c r="L105" s="5">
        <f t="shared" ref="L105:L109" si="52">IFERROR(AVERAGE(K99,K105),(VALUE(K99)+VALUE(K105))/2)</f>
        <v>912</v>
      </c>
      <c r="M105" s="4">
        <v>2</v>
      </c>
      <c r="N105" s="4" t="s">
        <v>114</v>
      </c>
      <c r="O105" s="4">
        <v>0</v>
      </c>
      <c r="P105" s="4">
        <v>0</v>
      </c>
      <c r="Q105" s="7">
        <v>969</v>
      </c>
      <c r="R105" s="5">
        <f t="shared" ref="R105:R109" si="53">IFERROR(AVERAGE(Q99,Q105),(VALUE(Q99)+VALUE(Q105))/2)</f>
        <v>1108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1:36" ht="24.75" customHeight="1">
      <c r="A106" s="4">
        <v>2</v>
      </c>
      <c r="B106" s="4" t="s">
        <v>115</v>
      </c>
      <c r="C106" s="4">
        <v>2.5</v>
      </c>
      <c r="D106" s="4">
        <v>1.66</v>
      </c>
      <c r="E106" s="7">
        <v>2277</v>
      </c>
      <c r="F106" s="4">
        <f t="shared" si="51"/>
        <v>4000.5</v>
      </c>
      <c r="G106" s="4">
        <v>2</v>
      </c>
      <c r="H106" s="4" t="s">
        <v>115</v>
      </c>
      <c r="I106" s="4">
        <v>2.5</v>
      </c>
      <c r="J106" s="4">
        <v>2.75</v>
      </c>
      <c r="K106" s="7">
        <v>789</v>
      </c>
      <c r="L106" s="5">
        <f t="shared" si="52"/>
        <v>898</v>
      </c>
      <c r="M106" s="4">
        <v>2</v>
      </c>
      <c r="N106" s="4" t="s">
        <v>115</v>
      </c>
      <c r="O106" s="4">
        <v>2.5</v>
      </c>
      <c r="P106" s="4">
        <v>0</v>
      </c>
      <c r="Q106" s="7">
        <v>0.77</v>
      </c>
      <c r="R106" s="5">
        <f t="shared" si="53"/>
        <v>1.2349999999999999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spans="1:36" ht="24.75" customHeight="1">
      <c r="A107" s="4">
        <v>2</v>
      </c>
      <c r="B107" s="4" t="s">
        <v>116</v>
      </c>
      <c r="C107" s="4">
        <v>5</v>
      </c>
      <c r="D107" s="4">
        <v>5.5</v>
      </c>
      <c r="E107" s="7">
        <v>1415</v>
      </c>
      <c r="F107" s="4">
        <f t="shared" si="51"/>
        <v>1596.5</v>
      </c>
      <c r="G107" s="4">
        <v>2</v>
      </c>
      <c r="H107" s="4" t="s">
        <v>116</v>
      </c>
      <c r="I107" s="4">
        <v>5</v>
      </c>
      <c r="J107" s="4">
        <v>7.84</v>
      </c>
      <c r="K107" s="7">
        <v>917</v>
      </c>
      <c r="L107" s="5">
        <f t="shared" si="52"/>
        <v>1246.5</v>
      </c>
      <c r="M107" s="4">
        <v>2</v>
      </c>
      <c r="N107" s="4" t="s">
        <v>116</v>
      </c>
      <c r="O107" s="4">
        <v>5</v>
      </c>
      <c r="P107" s="4">
        <v>7.6</v>
      </c>
      <c r="Q107" s="7">
        <v>1693</v>
      </c>
      <c r="R107" s="5">
        <f t="shared" si="53"/>
        <v>1297.5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spans="1:36" ht="24.75" customHeight="1">
      <c r="A108" s="4">
        <v>2</v>
      </c>
      <c r="B108" s="4" t="s">
        <v>119</v>
      </c>
      <c r="C108" s="4">
        <v>7.5</v>
      </c>
      <c r="D108" s="4">
        <v>5.5</v>
      </c>
      <c r="E108" s="7">
        <v>2879</v>
      </c>
      <c r="F108" s="4">
        <f t="shared" si="51"/>
        <v>3091.5</v>
      </c>
      <c r="G108" s="4">
        <v>2</v>
      </c>
      <c r="H108" s="4" t="s">
        <v>119</v>
      </c>
      <c r="I108" s="4">
        <v>7.5</v>
      </c>
      <c r="J108" s="4">
        <v>7.84</v>
      </c>
      <c r="K108" s="7">
        <v>729</v>
      </c>
      <c r="L108" s="5">
        <f t="shared" si="52"/>
        <v>820.5</v>
      </c>
      <c r="M108" s="4">
        <v>2</v>
      </c>
      <c r="N108" s="4" t="s">
        <v>119</v>
      </c>
      <c r="O108" s="4">
        <v>7.5</v>
      </c>
      <c r="P108" s="4">
        <v>8.24</v>
      </c>
      <c r="Q108" s="7">
        <v>1058</v>
      </c>
      <c r="R108" s="5">
        <f t="shared" si="53"/>
        <v>1143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spans="1:36" ht="24.75" customHeight="1">
      <c r="A109" s="4">
        <v>2</v>
      </c>
      <c r="B109" s="4" t="s">
        <v>121</v>
      </c>
      <c r="C109" s="4">
        <v>10</v>
      </c>
      <c r="D109" s="4">
        <v>10</v>
      </c>
      <c r="E109" s="7">
        <v>2228</v>
      </c>
      <c r="F109" s="4">
        <f t="shared" si="51"/>
        <v>2195.5</v>
      </c>
      <c r="G109" s="4">
        <v>2</v>
      </c>
      <c r="H109" s="4" t="s">
        <v>121</v>
      </c>
      <c r="I109" s="4">
        <v>10</v>
      </c>
      <c r="J109" s="4">
        <v>7.8</v>
      </c>
      <c r="K109" s="7">
        <v>0.75</v>
      </c>
      <c r="L109" s="5">
        <f t="shared" si="52"/>
        <v>438.375</v>
      </c>
      <c r="M109" s="4">
        <v>2</v>
      </c>
      <c r="N109" s="4" t="s">
        <v>121</v>
      </c>
      <c r="O109" s="4">
        <v>10</v>
      </c>
      <c r="P109" s="4">
        <v>8.1999999999999993</v>
      </c>
      <c r="Q109" s="4">
        <v>1.61</v>
      </c>
      <c r="R109" s="5">
        <f t="shared" si="53"/>
        <v>582.30499999999995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spans="1:36" ht="24.75" customHeight="1">
      <c r="A110" s="1" t="s">
        <v>123</v>
      </c>
      <c r="B110" s="2"/>
      <c r="C110" s="2"/>
      <c r="D110" s="2"/>
      <c r="E110" s="2"/>
      <c r="F110" s="2"/>
      <c r="G110" s="1" t="s">
        <v>123</v>
      </c>
      <c r="H110" s="2"/>
      <c r="I110" s="2"/>
      <c r="J110" s="2"/>
      <c r="K110" s="2"/>
      <c r="L110" s="2"/>
      <c r="M110" s="1" t="s">
        <v>123</v>
      </c>
      <c r="N110" s="2"/>
      <c r="O110" s="2"/>
      <c r="P110" s="2"/>
      <c r="Q110" s="2"/>
      <c r="R110" s="2"/>
      <c r="S110" s="1" t="s">
        <v>123</v>
      </c>
      <c r="T110" s="2"/>
      <c r="U110" s="2"/>
      <c r="V110" s="2"/>
      <c r="W110" s="2"/>
      <c r="X110" s="2"/>
      <c r="Y110" s="1" t="s">
        <v>123</v>
      </c>
      <c r="Z110" s="2"/>
      <c r="AA110" s="2"/>
      <c r="AB110" s="2"/>
      <c r="AC110" s="2"/>
      <c r="AD110" s="2"/>
      <c r="AE110" s="1" t="s">
        <v>123</v>
      </c>
      <c r="AF110" s="2"/>
      <c r="AG110" s="2"/>
      <c r="AH110" s="2"/>
      <c r="AI110" s="2"/>
      <c r="AJ110" s="2"/>
    </row>
    <row r="111" spans="1:36" ht="24.75" customHeight="1">
      <c r="A111" s="4">
        <v>1</v>
      </c>
      <c r="B111" s="4" t="s">
        <v>124</v>
      </c>
      <c r="C111" s="4">
        <v>0</v>
      </c>
      <c r="D111" s="4">
        <v>0</v>
      </c>
      <c r="E111" s="7">
        <v>8184</v>
      </c>
      <c r="F111" s="4">
        <f t="shared" ref="F111:F115" si="54">IFERROR(AVERAGE(D111,D117),(VALUE(D111)+VALUE(D117))/2)</f>
        <v>0</v>
      </c>
      <c r="G111" s="4">
        <v>1</v>
      </c>
      <c r="H111" s="4" t="s">
        <v>124</v>
      </c>
      <c r="I111" s="4">
        <v>0</v>
      </c>
      <c r="J111" s="4">
        <v>0</v>
      </c>
      <c r="K111" s="7">
        <v>1136</v>
      </c>
      <c r="L111" s="5">
        <f t="shared" ref="L111:L115" si="55">IFERROR(AVERAGE(J111,J117),(VALUE(J111)+VALUE(J117))/2)</f>
        <v>0</v>
      </c>
      <c r="M111" s="4">
        <v>1</v>
      </c>
      <c r="N111" s="4" t="s">
        <v>124</v>
      </c>
      <c r="O111" s="4">
        <v>0</v>
      </c>
      <c r="P111" s="4">
        <v>0</v>
      </c>
      <c r="Q111" s="7">
        <v>972</v>
      </c>
      <c r="R111" s="5">
        <f t="shared" ref="R111:R115" si="56">IFERROR(AVERAGE(P111,P117),(VALUE(P111)+VALUE(P117))/2)</f>
        <v>0</v>
      </c>
      <c r="S111" s="5">
        <v>1</v>
      </c>
      <c r="T111" s="5" t="s">
        <v>124</v>
      </c>
      <c r="U111" s="5" t="s">
        <v>12</v>
      </c>
      <c r="V111" s="5" t="s">
        <v>52</v>
      </c>
      <c r="W111" s="5" t="s">
        <v>125</v>
      </c>
      <c r="X111" s="5"/>
      <c r="Y111" s="5">
        <v>1</v>
      </c>
      <c r="Z111" s="5" t="s">
        <v>124</v>
      </c>
      <c r="AA111" s="5" t="s">
        <v>12</v>
      </c>
      <c r="AB111" s="5" t="s">
        <v>12</v>
      </c>
      <c r="AC111" s="9">
        <v>8052</v>
      </c>
      <c r="AD111" s="5"/>
      <c r="AE111" s="5"/>
      <c r="AF111" s="5"/>
      <c r="AG111" s="5"/>
      <c r="AH111" s="5"/>
      <c r="AI111" s="5"/>
      <c r="AJ111" s="5"/>
    </row>
    <row r="112" spans="1:36" ht="24.75" customHeight="1">
      <c r="A112" s="4">
        <v>1</v>
      </c>
      <c r="B112" s="4" t="s">
        <v>126</v>
      </c>
      <c r="C112" s="4">
        <v>2.5</v>
      </c>
      <c r="D112" s="4">
        <v>1.6</v>
      </c>
      <c r="E112" s="7">
        <v>2022</v>
      </c>
      <c r="F112" s="5">
        <f t="shared" si="54"/>
        <v>1.6</v>
      </c>
      <c r="G112" s="4">
        <v>1</v>
      </c>
      <c r="H112" s="4" t="s">
        <v>126</v>
      </c>
      <c r="I112" s="4">
        <v>2.5</v>
      </c>
      <c r="J112" s="4">
        <v>2.6</v>
      </c>
      <c r="K112" s="7">
        <v>941</v>
      </c>
      <c r="L112" s="5">
        <f t="shared" si="55"/>
        <v>2.2999999999999998</v>
      </c>
      <c r="M112" s="4">
        <v>1</v>
      </c>
      <c r="N112" s="4" t="s">
        <v>126</v>
      </c>
      <c r="O112" s="4">
        <v>2.5</v>
      </c>
      <c r="P112" s="4">
        <v>2.6</v>
      </c>
      <c r="Q112" s="7">
        <v>1112</v>
      </c>
      <c r="R112" s="5">
        <f t="shared" si="56"/>
        <v>2.6</v>
      </c>
      <c r="S112" s="5">
        <v>1</v>
      </c>
      <c r="T112" s="5" t="s">
        <v>126</v>
      </c>
      <c r="U112" s="5" t="s">
        <v>16</v>
      </c>
      <c r="V112" s="5" t="s">
        <v>96</v>
      </c>
      <c r="W112" s="9">
        <v>9608</v>
      </c>
      <c r="X112" s="5"/>
      <c r="Y112" s="5">
        <v>1</v>
      </c>
      <c r="Z112" s="5" t="s">
        <v>126</v>
      </c>
      <c r="AA112" s="5" t="s">
        <v>16</v>
      </c>
      <c r="AB112" s="5" t="s">
        <v>50</v>
      </c>
      <c r="AC112" s="5" t="s">
        <v>127</v>
      </c>
      <c r="AD112" s="5"/>
      <c r="AE112" s="5"/>
      <c r="AF112" s="5"/>
      <c r="AG112" s="5"/>
      <c r="AH112" s="5"/>
      <c r="AI112" s="5"/>
      <c r="AJ112" s="5"/>
    </row>
    <row r="113" spans="1:36" ht="24.75" customHeight="1">
      <c r="A113" s="4">
        <v>1</v>
      </c>
      <c r="B113" s="4" t="s">
        <v>128</v>
      </c>
      <c r="C113" s="4">
        <v>5</v>
      </c>
      <c r="D113" s="4">
        <v>5</v>
      </c>
      <c r="E113" s="7">
        <v>1809</v>
      </c>
      <c r="F113" s="5">
        <f t="shared" si="54"/>
        <v>5</v>
      </c>
      <c r="G113" s="4">
        <v>1</v>
      </c>
      <c r="H113" s="4" t="s">
        <v>128</v>
      </c>
      <c r="I113" s="4">
        <v>5</v>
      </c>
      <c r="J113" s="4">
        <v>4.8</v>
      </c>
      <c r="K113" s="7">
        <v>919</v>
      </c>
      <c r="L113" s="5">
        <f t="shared" si="55"/>
        <v>4.8</v>
      </c>
      <c r="M113" s="4">
        <v>1</v>
      </c>
      <c r="N113" s="4" t="s">
        <v>128</v>
      </c>
      <c r="O113" s="4">
        <v>5</v>
      </c>
      <c r="P113" s="4">
        <v>5.6</v>
      </c>
      <c r="Q113" s="7">
        <v>2119</v>
      </c>
      <c r="R113" s="5">
        <f t="shared" si="56"/>
        <v>5.1999999999999993</v>
      </c>
      <c r="S113" s="5">
        <v>1</v>
      </c>
      <c r="T113" s="5" t="s">
        <v>128</v>
      </c>
      <c r="U113" s="5" t="s">
        <v>20</v>
      </c>
      <c r="V113" s="5" t="s">
        <v>102</v>
      </c>
      <c r="W113" s="9">
        <v>7993</v>
      </c>
      <c r="X113" s="5"/>
      <c r="Y113" s="5">
        <v>1</v>
      </c>
      <c r="Z113" s="5" t="s">
        <v>128</v>
      </c>
      <c r="AA113" s="5" t="s">
        <v>20</v>
      </c>
      <c r="AB113" s="5" t="s">
        <v>129</v>
      </c>
      <c r="AC113" s="9">
        <v>30486</v>
      </c>
      <c r="AD113" s="5"/>
      <c r="AE113" s="5"/>
      <c r="AF113" s="5"/>
      <c r="AG113" s="5"/>
      <c r="AH113" s="5"/>
      <c r="AI113" s="5"/>
      <c r="AJ113" s="5"/>
    </row>
    <row r="114" spans="1:36" ht="24.75" customHeight="1">
      <c r="A114" s="4">
        <v>1</v>
      </c>
      <c r="B114" s="4" t="s">
        <v>130</v>
      </c>
      <c r="C114" s="4">
        <v>7.5</v>
      </c>
      <c r="D114" s="4">
        <v>8</v>
      </c>
      <c r="E114" s="7">
        <v>2799</v>
      </c>
      <c r="F114" s="5">
        <f t="shared" si="54"/>
        <v>8</v>
      </c>
      <c r="G114" s="4">
        <v>1</v>
      </c>
      <c r="H114" s="4" t="s">
        <v>130</v>
      </c>
      <c r="I114" s="4">
        <v>7.5</v>
      </c>
      <c r="J114" s="4">
        <v>8</v>
      </c>
      <c r="K114" s="7">
        <v>0.8</v>
      </c>
      <c r="L114" s="5">
        <f t="shared" si="55"/>
        <v>8</v>
      </c>
      <c r="M114" s="4">
        <v>1</v>
      </c>
      <c r="N114" s="4" t="s">
        <v>130</v>
      </c>
      <c r="O114" s="4">
        <v>7.5</v>
      </c>
      <c r="P114" s="4">
        <v>8</v>
      </c>
      <c r="Q114" s="7">
        <v>1447</v>
      </c>
      <c r="R114" s="5">
        <f t="shared" si="56"/>
        <v>8</v>
      </c>
      <c r="S114" s="5">
        <v>1</v>
      </c>
      <c r="T114" s="5" t="s">
        <v>130</v>
      </c>
      <c r="U114" s="5" t="s">
        <v>24</v>
      </c>
      <c r="V114" s="5" t="s">
        <v>55</v>
      </c>
      <c r="W114" s="9">
        <v>23077</v>
      </c>
      <c r="X114" s="5"/>
      <c r="Y114" s="5">
        <v>1</v>
      </c>
      <c r="Z114" s="5" t="s">
        <v>130</v>
      </c>
      <c r="AA114" s="5" t="s">
        <v>24</v>
      </c>
      <c r="AB114" s="5" t="s">
        <v>55</v>
      </c>
      <c r="AC114" s="9">
        <v>7643</v>
      </c>
      <c r="AD114" s="5"/>
      <c r="AE114" s="5"/>
      <c r="AF114" s="5"/>
      <c r="AG114" s="5"/>
      <c r="AH114" s="5"/>
      <c r="AI114" s="5"/>
      <c r="AJ114" s="5"/>
    </row>
    <row r="115" spans="1:36" ht="24.75" customHeight="1">
      <c r="A115" s="4">
        <v>1</v>
      </c>
      <c r="B115" s="4" t="s">
        <v>131</v>
      </c>
      <c r="C115" s="4">
        <v>10</v>
      </c>
      <c r="D115" s="4">
        <v>10</v>
      </c>
      <c r="E115" s="7">
        <v>23144</v>
      </c>
      <c r="F115" s="5">
        <f t="shared" si="54"/>
        <v>10</v>
      </c>
      <c r="G115" s="4">
        <v>1</v>
      </c>
      <c r="H115" s="4" t="s">
        <v>131</v>
      </c>
      <c r="I115" s="4">
        <v>10</v>
      </c>
      <c r="J115" s="4">
        <v>8</v>
      </c>
      <c r="K115" s="7">
        <v>907</v>
      </c>
      <c r="L115" s="5">
        <f t="shared" si="55"/>
        <v>8</v>
      </c>
      <c r="M115" s="4">
        <v>1</v>
      </c>
      <c r="N115" s="4" t="s">
        <v>131</v>
      </c>
      <c r="O115" s="4">
        <v>10</v>
      </c>
      <c r="P115" s="4">
        <v>8</v>
      </c>
      <c r="Q115" s="7">
        <v>1784</v>
      </c>
      <c r="R115" s="5">
        <f t="shared" si="56"/>
        <v>8</v>
      </c>
      <c r="S115" s="5">
        <v>1</v>
      </c>
      <c r="T115" s="5" t="s">
        <v>131</v>
      </c>
      <c r="U115" s="5" t="s">
        <v>27</v>
      </c>
      <c r="V115" s="5" t="s">
        <v>55</v>
      </c>
      <c r="W115" s="9">
        <v>27178</v>
      </c>
      <c r="X115" s="5"/>
      <c r="Y115" s="5">
        <v>1</v>
      </c>
      <c r="Z115" s="5" t="s">
        <v>131</v>
      </c>
      <c r="AA115" s="5" t="s">
        <v>27</v>
      </c>
      <c r="AB115" s="5" t="s">
        <v>27</v>
      </c>
      <c r="AC115" s="9">
        <v>5198</v>
      </c>
      <c r="AD115" s="5"/>
      <c r="AE115" s="5"/>
      <c r="AF115" s="5"/>
      <c r="AG115" s="5"/>
      <c r="AH115" s="5"/>
      <c r="AI115" s="5"/>
      <c r="AJ115" s="5"/>
    </row>
    <row r="116" spans="1:36" ht="24.75" customHeight="1">
      <c r="A116" s="4"/>
      <c r="B116" s="4"/>
      <c r="C116" s="4"/>
      <c r="D116" s="4"/>
      <c r="E116" s="7"/>
      <c r="F116" s="4" t="s">
        <v>30</v>
      </c>
      <c r="G116" s="4"/>
      <c r="H116" s="4"/>
      <c r="I116" s="4"/>
      <c r="J116" s="7"/>
      <c r="K116" s="7"/>
      <c r="L116" s="5" t="s">
        <v>30</v>
      </c>
      <c r="M116" s="4"/>
      <c r="N116" s="4"/>
      <c r="O116" s="4"/>
      <c r="P116" s="4"/>
      <c r="Q116" s="7"/>
      <c r="R116" s="5" t="s">
        <v>30</v>
      </c>
      <c r="S116" s="5"/>
      <c r="T116" s="5"/>
      <c r="U116" s="5"/>
      <c r="V116" s="5"/>
      <c r="W116" s="5"/>
      <c r="X116" s="5" t="s">
        <v>30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1:36" ht="24.75" customHeight="1">
      <c r="A117" s="4">
        <v>2</v>
      </c>
      <c r="B117" s="4" t="s">
        <v>124</v>
      </c>
      <c r="C117" s="4">
        <v>0</v>
      </c>
      <c r="D117" s="4">
        <v>0</v>
      </c>
      <c r="E117" s="7">
        <v>10084</v>
      </c>
      <c r="F117" s="4">
        <f t="shared" ref="F117:F121" si="57">IFERROR(AVERAGE(E111,E117),(VALUE(E111)+VALUE(E117))/2)</f>
        <v>9134</v>
      </c>
      <c r="G117" s="4">
        <v>2</v>
      </c>
      <c r="H117" s="4" t="s">
        <v>124</v>
      </c>
      <c r="I117" s="4">
        <v>0</v>
      </c>
      <c r="J117" s="7">
        <v>0</v>
      </c>
      <c r="K117" s="7">
        <v>862</v>
      </c>
      <c r="L117" s="5">
        <f t="shared" ref="L117:L121" si="58">IFERROR(AVERAGE(K111,K117),(VALUE(K111)+VALUE(K117))/2)</f>
        <v>999</v>
      </c>
      <c r="M117" s="4">
        <v>2</v>
      </c>
      <c r="N117" s="4" t="s">
        <v>124</v>
      </c>
      <c r="O117" s="4">
        <v>0</v>
      </c>
      <c r="P117" s="4">
        <v>0</v>
      </c>
      <c r="Q117" s="7">
        <v>1487</v>
      </c>
      <c r="R117" s="5">
        <f t="shared" ref="R117:R121" si="59">IFERROR(AVERAGE(Q111,Q117),(VALUE(Q111)+VALUE(Q117))/2)</f>
        <v>1229.5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1:36" ht="24.75" customHeight="1">
      <c r="A118" s="4">
        <v>2</v>
      </c>
      <c r="B118" s="4" t="s">
        <v>126</v>
      </c>
      <c r="C118" s="4">
        <v>2.5</v>
      </c>
      <c r="D118" s="4">
        <v>1.6</v>
      </c>
      <c r="E118" s="7">
        <v>1711</v>
      </c>
      <c r="F118" s="4">
        <f t="shared" si="57"/>
        <v>1866.5</v>
      </c>
      <c r="G118" s="4">
        <v>2</v>
      </c>
      <c r="H118" s="4" t="s">
        <v>126</v>
      </c>
      <c r="I118" s="4">
        <v>2.5</v>
      </c>
      <c r="J118" s="4">
        <v>2</v>
      </c>
      <c r="K118" s="7">
        <v>854</v>
      </c>
      <c r="L118" s="5">
        <f t="shared" si="58"/>
        <v>897.5</v>
      </c>
      <c r="M118" s="4">
        <v>2</v>
      </c>
      <c r="N118" s="4" t="s">
        <v>126</v>
      </c>
      <c r="O118" s="4">
        <v>2.5</v>
      </c>
      <c r="P118" s="4">
        <v>2.6</v>
      </c>
      <c r="Q118" s="7">
        <v>3484</v>
      </c>
      <c r="R118" s="5">
        <f t="shared" si="59"/>
        <v>2298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spans="1:36" ht="24.75" customHeight="1">
      <c r="A119" s="4">
        <v>2</v>
      </c>
      <c r="B119" s="4" t="s">
        <v>128</v>
      </c>
      <c r="C119" s="4">
        <v>5</v>
      </c>
      <c r="D119" s="4">
        <v>5</v>
      </c>
      <c r="E119" s="7">
        <v>6495</v>
      </c>
      <c r="F119" s="4">
        <f t="shared" si="57"/>
        <v>4152</v>
      </c>
      <c r="G119" s="4">
        <v>2</v>
      </c>
      <c r="H119" s="4" t="s">
        <v>128</v>
      </c>
      <c r="I119" s="4">
        <v>5</v>
      </c>
      <c r="J119" s="4">
        <v>4.8</v>
      </c>
      <c r="K119" s="7">
        <v>1287</v>
      </c>
      <c r="L119" s="5">
        <f t="shared" si="58"/>
        <v>1103</v>
      </c>
      <c r="M119" s="4">
        <v>2</v>
      </c>
      <c r="N119" s="4" t="s">
        <v>128</v>
      </c>
      <c r="O119" s="4">
        <v>5</v>
      </c>
      <c r="P119" s="4">
        <v>4.8</v>
      </c>
      <c r="Q119" s="7">
        <v>949</v>
      </c>
      <c r="R119" s="5">
        <f t="shared" si="59"/>
        <v>1534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spans="1:36" ht="24.75" customHeight="1">
      <c r="A120" s="4">
        <v>2</v>
      </c>
      <c r="B120" s="4" t="s">
        <v>130</v>
      </c>
      <c r="C120" s="4">
        <v>7.5</v>
      </c>
      <c r="D120" s="4">
        <v>8</v>
      </c>
      <c r="E120" s="7">
        <v>3033</v>
      </c>
      <c r="F120" s="4">
        <f t="shared" si="57"/>
        <v>2916</v>
      </c>
      <c r="G120" s="4">
        <v>2</v>
      </c>
      <c r="H120" s="4" t="s">
        <v>130</v>
      </c>
      <c r="I120" s="4">
        <v>7.5</v>
      </c>
      <c r="J120" s="4">
        <v>8</v>
      </c>
      <c r="K120" s="7">
        <v>794</v>
      </c>
      <c r="L120" s="5">
        <f t="shared" si="58"/>
        <v>397.4</v>
      </c>
      <c r="M120" s="4">
        <v>2</v>
      </c>
      <c r="N120" s="4" t="s">
        <v>130</v>
      </c>
      <c r="O120" s="4">
        <v>7.5</v>
      </c>
      <c r="P120" s="4">
        <v>8</v>
      </c>
      <c r="Q120" s="7">
        <v>777</v>
      </c>
      <c r="R120" s="5">
        <f t="shared" si="59"/>
        <v>1112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spans="1:36" ht="24.75" customHeight="1">
      <c r="A121" s="4">
        <v>2</v>
      </c>
      <c r="B121" s="4" t="s">
        <v>131</v>
      </c>
      <c r="C121" s="4">
        <v>10</v>
      </c>
      <c r="D121" s="4">
        <v>10</v>
      </c>
      <c r="E121" s="7">
        <v>1792</v>
      </c>
      <c r="F121" s="4">
        <f t="shared" si="57"/>
        <v>12468</v>
      </c>
      <c r="G121" s="4">
        <v>2</v>
      </c>
      <c r="H121" s="4" t="s">
        <v>131</v>
      </c>
      <c r="I121" s="4">
        <v>10</v>
      </c>
      <c r="J121" s="4">
        <v>8</v>
      </c>
      <c r="K121" s="7">
        <v>1124</v>
      </c>
      <c r="L121" s="5">
        <f t="shared" si="58"/>
        <v>1015.5</v>
      </c>
      <c r="M121" s="4">
        <v>2</v>
      </c>
      <c r="N121" s="4" t="s">
        <v>131</v>
      </c>
      <c r="O121" s="4">
        <v>10</v>
      </c>
      <c r="P121" s="4">
        <v>8</v>
      </c>
      <c r="Q121" s="7">
        <v>1339</v>
      </c>
      <c r="R121" s="5">
        <f t="shared" si="59"/>
        <v>1561.5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spans="1:36" ht="24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5.75" customHeight="1"/>
    <row r="124" spans="1:36" ht="15.75" customHeight="1"/>
    <row r="125" spans="1:36" ht="15.75" customHeight="1"/>
    <row r="126" spans="1:36" ht="15.75" customHeight="1"/>
    <row r="127" spans="1:36" ht="15.75" customHeight="1"/>
    <row r="128" spans="1:3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2026-08-06T21:53:25Z</dcterms:created>
  <dcterms:modified xsi:type="dcterms:W3CDTF">2026-08-06T21:53:25Z</dcterms:modified>
  <cp:category/>
  <cp:contentStatus/>
</cp:coreProperties>
</file>